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40" windowHeight="11640" tabRatio="797" firstSheet="3" activeTab="3"/>
  </bookViews>
  <sheets>
    <sheet name="Sheet1" sheetId="21" r:id="rId1"/>
    <sheet name="Sheet2" sheetId="22" state="hidden" r:id="rId2"/>
    <sheet name="FinalFormwFx2" sheetId="17" r:id="rId3"/>
    <sheet name="Cash flow statement " sheetId="11" r:id="rId4"/>
    <sheet name="TB 2012" sheetId="19" r:id="rId5"/>
    <sheet name="TB JAn'13" sheetId="25" r:id="rId6"/>
    <sheet name="TB Feb'13" sheetId="26" r:id="rId7"/>
    <sheet name="TB March'13" sheetId="27" r:id="rId8"/>
    <sheet name="TB June'13" sheetId="28" r:id="rId9"/>
    <sheet name="BS" sheetId="18" r:id="rId10"/>
    <sheet name="PL" sheetId="20" r:id="rId11"/>
    <sheet name="TB Q I 2013" sheetId="23" r:id="rId12"/>
    <sheet name="TB for 2013" sheetId="29" r:id="rId13"/>
    <sheet name="C&amp;E.2013" sheetId="30" r:id="rId14"/>
  </sheets>
  <externalReferences>
    <externalReference r:id="rId15"/>
    <externalReference r:id="rId16"/>
  </externalReferences>
  <definedNames>
    <definedName name="_xlnm.Print_Area" localSheetId="3">'Cash flow statement '!$A$2:$I$55</definedName>
    <definedName name="_xlnm.Print_Area" localSheetId="2">FinalFormwFx2!$A$1:$D$70</definedName>
    <definedName name="_xlnm.Print_Area" localSheetId="12">'TB for 2013'!$A$1:$J$180</definedName>
    <definedName name="_xlnm.Print_Area" localSheetId="8">'TB June''13'!$A$1:$J$162</definedName>
  </definedNames>
  <calcPr calcId="125725"/>
</workbook>
</file>

<file path=xl/calcChain.xml><?xml version="1.0" encoding="utf-8"?>
<calcChain xmlns="http://schemas.openxmlformats.org/spreadsheetml/2006/main">
  <c r="G10" i="11"/>
  <c r="F10"/>
  <c r="H10"/>
  <c r="F12" i="30"/>
  <c r="G12" s="1"/>
  <c r="C12"/>
  <c r="C19" s="1"/>
  <c r="H45"/>
  <c r="F29"/>
  <c r="G28"/>
  <c r="F26"/>
  <c r="G22"/>
  <c r="D21"/>
  <c r="D23" s="1"/>
  <c r="D30" s="1"/>
  <c r="E19"/>
  <c r="E21" s="1"/>
  <c r="E23" s="1"/>
  <c r="E30" s="1"/>
  <c r="D19"/>
  <c r="F18"/>
  <c r="G17"/>
  <c r="F16"/>
  <c r="F15"/>
  <c r="G14"/>
  <c r="D174" i="29"/>
  <c r="E174"/>
  <c r="F174"/>
  <c r="F175" s="1"/>
  <c r="G174"/>
  <c r="H174"/>
  <c r="C174"/>
  <c r="I51" i="11"/>
  <c r="H51"/>
  <c r="J56" i="28"/>
  <c r="I16" i="19"/>
  <c r="I15"/>
  <c r="I14"/>
  <c r="I13"/>
  <c r="I12"/>
  <c r="I11"/>
  <c r="I10"/>
  <c r="I9"/>
  <c r="I8"/>
  <c r="I7"/>
  <c r="I6"/>
  <c r="I5"/>
  <c r="I19" i="29"/>
  <c r="I18"/>
  <c r="I17"/>
  <c r="I16"/>
  <c r="I15"/>
  <c r="I14"/>
  <c r="I13"/>
  <c r="I12"/>
  <c r="I11"/>
  <c r="I10"/>
  <c r="I9"/>
  <c r="I8"/>
  <c r="I7"/>
  <c r="I20" i="11" s="1"/>
  <c r="I6" i="29"/>
  <c r="I6" i="27"/>
  <c r="I173" i="29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H88"/>
  <c r="G88"/>
  <c r="H89" s="1"/>
  <c r="F88"/>
  <c r="E88"/>
  <c r="D88"/>
  <c r="C88"/>
  <c r="D89" s="1"/>
  <c r="J87"/>
  <c r="I87"/>
  <c r="J86"/>
  <c r="I86"/>
  <c r="J85"/>
  <c r="I85"/>
  <c r="J84"/>
  <c r="I84"/>
  <c r="J83"/>
  <c r="I83"/>
  <c r="J82"/>
  <c r="I82"/>
  <c r="J81"/>
  <c r="I81"/>
  <c r="J80"/>
  <c r="I80"/>
  <c r="J79"/>
  <c r="I79"/>
  <c r="J78"/>
  <c r="I78"/>
  <c r="J77"/>
  <c r="I77"/>
  <c r="J76"/>
  <c r="I76"/>
  <c r="J75"/>
  <c r="I75"/>
  <c r="J74"/>
  <c r="I74"/>
  <c r="J73"/>
  <c r="I73"/>
  <c r="J72"/>
  <c r="I72"/>
  <c r="J71"/>
  <c r="I34" i="11" s="1"/>
  <c r="I71" i="29"/>
  <c r="J70"/>
  <c r="I33" i="11" s="1"/>
  <c r="I70" i="29"/>
  <c r="J69"/>
  <c r="I69"/>
  <c r="J68"/>
  <c r="I68"/>
  <c r="J67"/>
  <c r="I67"/>
  <c r="J66"/>
  <c r="I66"/>
  <c r="J65"/>
  <c r="I65"/>
  <c r="J64"/>
  <c r="K64" s="1"/>
  <c r="I64"/>
  <c r="J63"/>
  <c r="I63"/>
  <c r="J62"/>
  <c r="I62"/>
  <c r="J61"/>
  <c r="I61"/>
  <c r="J60"/>
  <c r="I60"/>
  <c r="J59"/>
  <c r="I59"/>
  <c r="J58"/>
  <c r="I58"/>
  <c r="J57"/>
  <c r="I57"/>
  <c r="J56"/>
  <c r="I56"/>
  <c r="J55"/>
  <c r="I55"/>
  <c r="J54"/>
  <c r="I54"/>
  <c r="J53"/>
  <c r="I53"/>
  <c r="J52"/>
  <c r="I52"/>
  <c r="J51"/>
  <c r="I51"/>
  <c r="J50"/>
  <c r="I50"/>
  <c r="J49"/>
  <c r="I49"/>
  <c r="J48"/>
  <c r="I48"/>
  <c r="J47"/>
  <c r="I47"/>
  <c r="J46"/>
  <c r="I46"/>
  <c r="J45"/>
  <c r="I45"/>
  <c r="J44"/>
  <c r="I44"/>
  <c r="J43"/>
  <c r="I43"/>
  <c r="J42"/>
  <c r="I42"/>
  <c r="J41"/>
  <c r="I41"/>
  <c r="J40"/>
  <c r="I40"/>
  <c r="J39"/>
  <c r="I39"/>
  <c r="J38"/>
  <c r="I38"/>
  <c r="J37"/>
  <c r="I37"/>
  <c r="I24" i="11" s="1"/>
  <c r="J36" i="29"/>
  <c r="I36"/>
  <c r="I22" i="11" s="1"/>
  <c r="J35" i="29"/>
  <c r="I35"/>
  <c r="J34"/>
  <c r="I34"/>
  <c r="J33"/>
  <c r="I33"/>
  <c r="J32"/>
  <c r="I32"/>
  <c r="I25" i="11" s="1"/>
  <c r="J31" i="29"/>
  <c r="I31"/>
  <c r="J30"/>
  <c r="I30"/>
  <c r="J29"/>
  <c r="I29"/>
  <c r="J28"/>
  <c r="I28"/>
  <c r="J27"/>
  <c r="I27"/>
  <c r="J26"/>
  <c r="I26"/>
  <c r="J25"/>
  <c r="I25"/>
  <c r="J24"/>
  <c r="I24"/>
  <c r="J23"/>
  <c r="I23"/>
  <c r="J22"/>
  <c r="I22"/>
  <c r="J21"/>
  <c r="I21"/>
  <c r="J20"/>
  <c r="I20"/>
  <c r="J19"/>
  <c r="J18"/>
  <c r="J17"/>
  <c r="J16"/>
  <c r="J15"/>
  <c r="J14"/>
  <c r="J13"/>
  <c r="J12"/>
  <c r="J11"/>
  <c r="J10"/>
  <c r="J9"/>
  <c r="J8"/>
  <c r="J7"/>
  <c r="J6"/>
  <c r="J5"/>
  <c r="I5"/>
  <c r="I88" s="1"/>
  <c r="I83" i="28"/>
  <c r="J5"/>
  <c r="I5"/>
  <c r="I6"/>
  <c r="K87" i="29" l="1"/>
  <c r="F89"/>
  <c r="I10" i="11" s="1"/>
  <c r="I175" i="29"/>
  <c r="H175"/>
  <c r="I35" i="11"/>
  <c r="C21" i="30"/>
  <c r="F19"/>
  <c r="F21" s="1"/>
  <c r="F23" s="1"/>
  <c r="F30" s="1"/>
  <c r="I46" i="11"/>
  <c r="I48" s="1"/>
  <c r="I179" i="29"/>
  <c r="K82"/>
  <c r="K62"/>
  <c r="K69"/>
  <c r="K79"/>
  <c r="K50"/>
  <c r="I21" i="11"/>
  <c r="I41"/>
  <c r="I42" s="1"/>
  <c r="J88" i="29"/>
  <c r="I12" i="11"/>
  <c r="I11" s="1"/>
  <c r="K38" i="29"/>
  <c r="I27" i="11"/>
  <c r="I89" i="29"/>
  <c r="K40"/>
  <c r="I32" i="11"/>
  <c r="K55" i="29"/>
  <c r="K25"/>
  <c r="I31" i="11"/>
  <c r="I180" i="29"/>
  <c r="J75" i="27"/>
  <c r="J86" i="19"/>
  <c r="H174"/>
  <c r="G174"/>
  <c r="C81"/>
  <c r="D81"/>
  <c r="E81"/>
  <c r="F83" s="1"/>
  <c r="F81"/>
  <c r="H81"/>
  <c r="G81"/>
  <c r="H83" s="1"/>
  <c r="J77" i="28"/>
  <c r="J75"/>
  <c r="J74"/>
  <c r="J60"/>
  <c r="H33" i="11" s="1"/>
  <c r="J42" i="28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81" i="27"/>
  <c r="D160" i="28"/>
  <c r="D161" s="1"/>
  <c r="E160"/>
  <c r="F160"/>
  <c r="F161" s="1"/>
  <c r="G160"/>
  <c r="H160"/>
  <c r="H161" s="1"/>
  <c r="C160"/>
  <c r="H78"/>
  <c r="G78"/>
  <c r="H79" s="1"/>
  <c r="F78"/>
  <c r="E78"/>
  <c r="D78"/>
  <c r="C78"/>
  <c r="D79" s="1"/>
  <c r="I77"/>
  <c r="J76"/>
  <c r="I76"/>
  <c r="I75"/>
  <c r="I74"/>
  <c r="J73"/>
  <c r="H46" i="11" s="1"/>
  <c r="H48" s="1"/>
  <c r="I73" i="28"/>
  <c r="J72"/>
  <c r="I72"/>
  <c r="J71"/>
  <c r="I71"/>
  <c r="J70"/>
  <c r="H35" i="11" s="1"/>
  <c r="I70" i="28"/>
  <c r="J69"/>
  <c r="I69"/>
  <c r="J68"/>
  <c r="I68"/>
  <c r="J67"/>
  <c r="I67"/>
  <c r="J66"/>
  <c r="I66"/>
  <c r="J65"/>
  <c r="I65"/>
  <c r="J64"/>
  <c r="I64"/>
  <c r="J63"/>
  <c r="I63"/>
  <c r="J62"/>
  <c r="I62"/>
  <c r="J61"/>
  <c r="H34" i="11" s="1"/>
  <c r="I61" i="28"/>
  <c r="I60"/>
  <c r="J59"/>
  <c r="I59"/>
  <c r="J58"/>
  <c r="I58"/>
  <c r="J57"/>
  <c r="H31" i="11" s="1"/>
  <c r="I57" i="28"/>
  <c r="I56"/>
  <c r="J55"/>
  <c r="H32" i="11" s="1"/>
  <c r="I55" i="28"/>
  <c r="J54"/>
  <c r="I54"/>
  <c r="J53"/>
  <c r="I53"/>
  <c r="J52"/>
  <c r="I52"/>
  <c r="J51"/>
  <c r="I51"/>
  <c r="J50"/>
  <c r="I50"/>
  <c r="J49"/>
  <c r="H12" i="11" s="1"/>
  <c r="H11" s="1"/>
  <c r="I49" i="28"/>
  <c r="J48"/>
  <c r="I48"/>
  <c r="J47"/>
  <c r="I47"/>
  <c r="J46"/>
  <c r="I46"/>
  <c r="J45"/>
  <c r="I45"/>
  <c r="J44"/>
  <c r="I44"/>
  <c r="J43"/>
  <c r="I43"/>
  <c r="H41" i="11" s="1"/>
  <c r="H42" s="1"/>
  <c r="I42" i="28"/>
  <c r="J41"/>
  <c r="I41"/>
  <c r="J40"/>
  <c r="I40"/>
  <c r="J39"/>
  <c r="I39"/>
  <c r="J38"/>
  <c r="I38"/>
  <c r="J37"/>
  <c r="I37"/>
  <c r="J36"/>
  <c r="I36"/>
  <c r="J35"/>
  <c r="I35"/>
  <c r="J34"/>
  <c r="I34"/>
  <c r="J33"/>
  <c r="I33"/>
  <c r="H21" i="11" s="1"/>
  <c r="J32" i="28"/>
  <c r="I32"/>
  <c r="J31"/>
  <c r="I31"/>
  <c r="H24" i="11" s="1"/>
  <c r="J30" i="28"/>
  <c r="I30"/>
  <c r="H22" i="11" s="1"/>
  <c r="J29" i="28"/>
  <c r="I29"/>
  <c r="J28"/>
  <c r="I28"/>
  <c r="J27"/>
  <c r="I27"/>
  <c r="J26"/>
  <c r="I26"/>
  <c r="H25" i="11" s="1"/>
  <c r="J25" i="28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I8"/>
  <c r="J7"/>
  <c r="I7"/>
  <c r="H20" i="11" s="1"/>
  <c r="J6" i="28"/>
  <c r="J78" s="1"/>
  <c r="I5" i="27"/>
  <c r="J5"/>
  <c r="I45"/>
  <c r="J48"/>
  <c r="L48" s="1"/>
  <c r="L49"/>
  <c r="L50" s="1"/>
  <c r="J136"/>
  <c r="I32"/>
  <c r="G51" i="11"/>
  <c r="F51"/>
  <c r="J58" i="26"/>
  <c r="J58" i="25"/>
  <c r="F33" i="11"/>
  <c r="E33"/>
  <c r="E51"/>
  <c r="E48"/>
  <c r="F48"/>
  <c r="D51"/>
  <c r="D48"/>
  <c r="I25" i="25"/>
  <c r="E25" i="11" s="1"/>
  <c r="I26" i="19"/>
  <c r="I34"/>
  <c r="I33"/>
  <c r="F150" i="27"/>
  <c r="F151" s="1"/>
  <c r="C150"/>
  <c r="D151" s="1"/>
  <c r="D150"/>
  <c r="E150"/>
  <c r="G150"/>
  <c r="H150"/>
  <c r="H151" s="1"/>
  <c r="I82"/>
  <c r="I151" s="1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J6"/>
  <c r="J76" s="1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9"/>
  <c r="G12" i="11" s="1"/>
  <c r="G11" s="1"/>
  <c r="J50" i="27"/>
  <c r="J51"/>
  <c r="J52"/>
  <c r="J53"/>
  <c r="J54"/>
  <c r="L71" s="1"/>
  <c r="J55"/>
  <c r="G31" i="11" s="1"/>
  <c r="J56" i="27"/>
  <c r="J57"/>
  <c r="J58"/>
  <c r="J59"/>
  <c r="G33" i="11" s="1"/>
  <c r="J60" i="27"/>
  <c r="G34" i="11" s="1"/>
  <c r="J61" i="27"/>
  <c r="J62"/>
  <c r="J63"/>
  <c r="J64"/>
  <c r="J65"/>
  <c r="J66"/>
  <c r="J67"/>
  <c r="J68"/>
  <c r="J69"/>
  <c r="G35" i="11" s="1"/>
  <c r="J70" i="27"/>
  <c r="J71"/>
  <c r="J72"/>
  <c r="G46" i="11" s="1"/>
  <c r="G48" s="1"/>
  <c r="J73" i="27"/>
  <c r="J74"/>
  <c r="I5" i="26"/>
  <c r="I7" i="27"/>
  <c r="G20" i="11" s="1"/>
  <c r="I8" i="27"/>
  <c r="I9"/>
  <c r="I10"/>
  <c r="I11"/>
  <c r="I12"/>
  <c r="I13"/>
  <c r="I14"/>
  <c r="I15"/>
  <c r="I16"/>
  <c r="I17"/>
  <c r="I18"/>
  <c r="I19"/>
  <c r="I20"/>
  <c r="I21"/>
  <c r="I22"/>
  <c r="I23"/>
  <c r="I24"/>
  <c r="I25"/>
  <c r="G25" i="11" s="1"/>
  <c r="I26" i="27"/>
  <c r="G27" i="11" s="1"/>
  <c r="I27" i="27"/>
  <c r="I28"/>
  <c r="I29"/>
  <c r="G22" i="11" s="1"/>
  <c r="I30" i="27"/>
  <c r="G24" i="11" s="1"/>
  <c r="I31" i="27"/>
  <c r="I33"/>
  <c r="G21" i="11" s="1"/>
  <c r="I34" i="27"/>
  <c r="I35"/>
  <c r="I36"/>
  <c r="I37"/>
  <c r="I38"/>
  <c r="I39"/>
  <c r="I40"/>
  <c r="I41"/>
  <c r="I42"/>
  <c r="G41" i="11" s="1"/>
  <c r="G42" s="1"/>
  <c r="I43" i="27"/>
  <c r="I44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D76"/>
  <c r="E76"/>
  <c r="F77" s="1"/>
  <c r="F76"/>
  <c r="G76"/>
  <c r="H77" s="1"/>
  <c r="H76"/>
  <c r="C76"/>
  <c r="D77" s="1"/>
  <c r="I81" i="26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80"/>
  <c r="I80" i="25"/>
  <c r="E10" i="11" s="1"/>
  <c r="D140" i="26"/>
  <c r="D141" s="1"/>
  <c r="E140"/>
  <c r="F140"/>
  <c r="F141" s="1"/>
  <c r="G140"/>
  <c r="H140"/>
  <c r="H141" s="1"/>
  <c r="C140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F12" i="11" s="1"/>
  <c r="F11" s="1"/>
  <c r="J48" i="26"/>
  <c r="J49"/>
  <c r="J50"/>
  <c r="J51"/>
  <c r="J52"/>
  <c r="J53"/>
  <c r="F32" i="11" s="1"/>
  <c r="J54" i="26"/>
  <c r="F31" i="11" s="1"/>
  <c r="J55" i="26"/>
  <c r="J56"/>
  <c r="J57"/>
  <c r="J59"/>
  <c r="F34" i="11" s="1"/>
  <c r="J60" i="26"/>
  <c r="J61"/>
  <c r="J62"/>
  <c r="J63"/>
  <c r="J64"/>
  <c r="J65"/>
  <c r="J66"/>
  <c r="J67"/>
  <c r="J68"/>
  <c r="F35" i="11" s="1"/>
  <c r="J69" i="26"/>
  <c r="J70"/>
  <c r="J71"/>
  <c r="J72"/>
  <c r="J73"/>
  <c r="J74"/>
  <c r="J5"/>
  <c r="J75" s="1"/>
  <c r="I6"/>
  <c r="I75" s="1"/>
  <c r="J76" s="1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F25" i="11" s="1"/>
  <c r="I26" i="26"/>
  <c r="F27" i="11" s="1"/>
  <c r="I27" i="26"/>
  <c r="I28"/>
  <c r="F22" i="11" s="1"/>
  <c r="I29" i="26"/>
  <c r="F24" i="11" s="1"/>
  <c r="I30" i="26"/>
  <c r="I31"/>
  <c r="F21" i="11" s="1"/>
  <c r="I32" i="26"/>
  <c r="I33"/>
  <c r="I34"/>
  <c r="I35"/>
  <c r="I36"/>
  <c r="I37"/>
  <c r="I38"/>
  <c r="I39"/>
  <c r="I40"/>
  <c r="I41"/>
  <c r="F41" i="11" s="1"/>
  <c r="F42" s="1"/>
  <c r="I42" i="26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5" i="25"/>
  <c r="D75" i="26"/>
  <c r="E75"/>
  <c r="F76" s="1"/>
  <c r="F75"/>
  <c r="G75"/>
  <c r="H76" s="1"/>
  <c r="H75"/>
  <c r="C75"/>
  <c r="D76" s="1"/>
  <c r="I81" i="25"/>
  <c r="I138" s="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J164" i="19"/>
  <c r="E137" i="25"/>
  <c r="D137"/>
  <c r="F137"/>
  <c r="E138" s="1"/>
  <c r="G137"/>
  <c r="H137"/>
  <c r="G138" s="1"/>
  <c r="C137"/>
  <c r="J160" i="19"/>
  <c r="J6" i="25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E12" i="11" s="1"/>
  <c r="E11" s="1"/>
  <c r="J48" i="25"/>
  <c r="J49"/>
  <c r="J50"/>
  <c r="J51"/>
  <c r="J52"/>
  <c r="J53"/>
  <c r="E32" i="11" s="1"/>
  <c r="J54" i="25"/>
  <c r="E31" i="11" s="1"/>
  <c r="J55" i="25"/>
  <c r="J56"/>
  <c r="J57"/>
  <c r="J59"/>
  <c r="E34" i="11" s="1"/>
  <c r="J60" i="25"/>
  <c r="J61"/>
  <c r="J62"/>
  <c r="J63"/>
  <c r="J64"/>
  <c r="J65"/>
  <c r="J66"/>
  <c r="J67"/>
  <c r="J68"/>
  <c r="E35" i="11" s="1"/>
  <c r="J69" i="25"/>
  <c r="J70"/>
  <c r="J71"/>
  <c r="J72"/>
  <c r="J73"/>
  <c r="J74"/>
  <c r="J5"/>
  <c r="J75" s="1"/>
  <c r="I6"/>
  <c r="E20" i="11" s="1"/>
  <c r="I7" i="25"/>
  <c r="I8"/>
  <c r="I9"/>
  <c r="I10"/>
  <c r="I11"/>
  <c r="I12"/>
  <c r="I13"/>
  <c r="I14"/>
  <c r="I15"/>
  <c r="I16"/>
  <c r="I17"/>
  <c r="I18"/>
  <c r="I19"/>
  <c r="I20"/>
  <c r="I21"/>
  <c r="I22"/>
  <c r="I23"/>
  <c r="I24"/>
  <c r="I26"/>
  <c r="E27" i="11" s="1"/>
  <c r="I27" i="25"/>
  <c r="I28"/>
  <c r="E22" i="11" s="1"/>
  <c r="I29" i="25"/>
  <c r="E24" i="11" s="1"/>
  <c r="I30" i="25"/>
  <c r="I31"/>
  <c r="E21" i="11" s="1"/>
  <c r="I32" i="25"/>
  <c r="I33"/>
  <c r="I34"/>
  <c r="I35"/>
  <c r="I36"/>
  <c r="I37"/>
  <c r="I38"/>
  <c r="I39"/>
  <c r="I40"/>
  <c r="I41"/>
  <c r="E41" i="11" s="1"/>
  <c r="E42" s="1"/>
  <c r="I42" i="25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D75"/>
  <c r="E75"/>
  <c r="F75"/>
  <c r="F76" s="1"/>
  <c r="G75"/>
  <c r="H76" s="1"/>
  <c r="H75"/>
  <c r="C75"/>
  <c r="D76" s="1"/>
  <c r="J171" i="19"/>
  <c r="H154" i="23"/>
  <c r="G154"/>
  <c r="F154"/>
  <c r="E154"/>
  <c r="D154"/>
  <c r="D155" s="1"/>
  <c r="C154"/>
  <c r="H76"/>
  <c r="G76"/>
  <c r="F76"/>
  <c r="F77" s="1"/>
  <c r="E76"/>
  <c r="D76"/>
  <c r="D77" s="1"/>
  <c r="C76"/>
  <c r="I44" i="19"/>
  <c r="J63"/>
  <c r="J59"/>
  <c r="J71"/>
  <c r="I29"/>
  <c r="I21"/>
  <c r="J50"/>
  <c r="J57"/>
  <c r="L34"/>
  <c r="L11"/>
  <c r="L6"/>
  <c r="L7"/>
  <c r="L8"/>
  <c r="L9"/>
  <c r="L10"/>
  <c r="L5"/>
  <c r="L39"/>
  <c r="L35"/>
  <c r="L36"/>
  <c r="L37"/>
  <c r="L38"/>
  <c r="L40"/>
  <c r="L41"/>
  <c r="L42"/>
  <c r="L43"/>
  <c r="L44"/>
  <c r="L45"/>
  <c r="L46"/>
  <c r="L47"/>
  <c r="L48"/>
  <c r="L49"/>
  <c r="I37"/>
  <c r="I31"/>
  <c r="D24" i="11"/>
  <c r="I30" i="19"/>
  <c r="D22" i="11" s="1"/>
  <c r="D21"/>
  <c r="J60" i="19"/>
  <c r="J61"/>
  <c r="J62"/>
  <c r="J167"/>
  <c r="I174"/>
  <c r="H176"/>
  <c r="J172"/>
  <c r="I25"/>
  <c r="I24"/>
  <c r="I23"/>
  <c r="I22"/>
  <c r="I19"/>
  <c r="I18"/>
  <c r="I17"/>
  <c r="E174"/>
  <c r="F174"/>
  <c r="F176" s="1"/>
  <c r="J170"/>
  <c r="J166"/>
  <c r="J165"/>
  <c r="J163"/>
  <c r="J162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K48" i="21"/>
  <c r="J48"/>
  <c r="E48"/>
  <c r="D48"/>
  <c r="K42"/>
  <c r="J42"/>
  <c r="E42"/>
  <c r="D42"/>
  <c r="K29"/>
  <c r="K36" s="1"/>
  <c r="J29"/>
  <c r="J36" s="1"/>
  <c r="E29"/>
  <c r="E36" s="1"/>
  <c r="D29"/>
  <c r="D36" s="1"/>
  <c r="K19"/>
  <c r="K28" s="1"/>
  <c r="J19"/>
  <c r="J28" s="1"/>
  <c r="E19"/>
  <c r="E28" s="1"/>
  <c r="D19"/>
  <c r="D28" s="1"/>
  <c r="K11"/>
  <c r="K18" s="1"/>
  <c r="K37" s="1"/>
  <c r="K50" s="1"/>
  <c r="K52" s="1"/>
  <c r="J11"/>
  <c r="J18" s="1"/>
  <c r="J37" s="1"/>
  <c r="J50" s="1"/>
  <c r="J52" s="1"/>
  <c r="E11"/>
  <c r="E18" s="1"/>
  <c r="E37" s="1"/>
  <c r="E50" s="1"/>
  <c r="E52" s="1"/>
  <c r="D11"/>
  <c r="D18" s="1"/>
  <c r="D37" s="1"/>
  <c r="D50" s="1"/>
  <c r="D52" s="1"/>
  <c r="D20" i="11" l="1"/>
  <c r="J151" i="27"/>
  <c r="F29" i="11"/>
  <c r="F36" s="1"/>
  <c r="L24" i="27"/>
  <c r="J137"/>
  <c r="E18" i="11"/>
  <c r="H27"/>
  <c r="H19" s="1"/>
  <c r="H28" s="1"/>
  <c r="L29" i="28"/>
  <c r="F155" i="23"/>
  <c r="F157" s="1"/>
  <c r="F20" i="11"/>
  <c r="G32"/>
  <c r="G29" s="1"/>
  <c r="G36" s="1"/>
  <c r="L27" i="27"/>
  <c r="L47" i="28"/>
  <c r="I19" i="11"/>
  <c r="I28" s="1"/>
  <c r="H77" i="23"/>
  <c r="H78" s="1"/>
  <c r="I76" i="27"/>
  <c r="J77" s="1"/>
  <c r="K77" s="1"/>
  <c r="K24"/>
  <c r="L41"/>
  <c r="I160" i="28"/>
  <c r="L42"/>
  <c r="H155" i="23"/>
  <c r="I141" i="26"/>
  <c r="L17" i="27"/>
  <c r="F79" i="28"/>
  <c r="I18" i="11"/>
  <c r="D31"/>
  <c r="I78" i="28"/>
  <c r="I79" s="1"/>
  <c r="L51" i="11"/>
  <c r="G19" i="30"/>
  <c r="G21"/>
  <c r="G23" s="1"/>
  <c r="C23"/>
  <c r="C30" s="1"/>
  <c r="G30" s="1"/>
  <c r="I29" i="11"/>
  <c r="I36" s="1"/>
  <c r="I37" s="1"/>
  <c r="I50" s="1"/>
  <c r="I52" s="1"/>
  <c r="F18"/>
  <c r="F37" s="1"/>
  <c r="G18"/>
  <c r="G19"/>
  <c r="G28" s="1"/>
  <c r="L28" s="1"/>
  <c r="F19"/>
  <c r="F28" s="1"/>
  <c r="H29"/>
  <c r="H36" s="1"/>
  <c r="H18"/>
  <c r="E29"/>
  <c r="E36" s="1"/>
  <c r="E19"/>
  <c r="E28" s="1"/>
  <c r="J76" i="25"/>
  <c r="L76" s="1"/>
  <c r="L19" i="19"/>
  <c r="L18"/>
  <c r="L22" s="1"/>
  <c r="I20"/>
  <c r="K50" i="11"/>
  <c r="C174" i="19"/>
  <c r="D174"/>
  <c r="L72" i="27" l="1"/>
  <c r="L29" i="11"/>
  <c r="F50"/>
  <c r="F52" s="1"/>
  <c r="H156" i="23"/>
  <c r="H157"/>
  <c r="G37" i="11"/>
  <c r="G50" s="1"/>
  <c r="G52" s="1"/>
  <c r="E37"/>
  <c r="E50" s="1"/>
  <c r="E52" s="1"/>
  <c r="L36"/>
  <c r="N28"/>
  <c r="N29" s="1"/>
  <c r="N30" s="1"/>
  <c r="H37"/>
  <c r="H50" s="1"/>
  <c r="H52" s="1"/>
  <c r="L21" i="19"/>
  <c r="L23" s="1"/>
  <c r="L15"/>
  <c r="J169"/>
  <c r="J168"/>
  <c r="J161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D10" i="11" l="1"/>
  <c r="J174" i="19"/>
  <c r="J176" s="1"/>
  <c r="L16"/>
  <c r="L50" i="11"/>
  <c r="L52" s="1"/>
  <c r="J51"/>
  <c r="J78" i="19"/>
  <c r="J77"/>
  <c r="J76"/>
  <c r="J75"/>
  <c r="J74"/>
  <c r="J73"/>
  <c r="J72"/>
  <c r="J70"/>
  <c r="J69"/>
  <c r="J68"/>
  <c r="J67"/>
  <c r="J66"/>
  <c r="J65"/>
  <c r="J64"/>
  <c r="D33" i="11"/>
  <c r="J58" i="19"/>
  <c r="D32" i="11"/>
  <c r="J56" i="19"/>
  <c r="J55"/>
  <c r="J54"/>
  <c r="J53"/>
  <c r="J52"/>
  <c r="J51"/>
  <c r="I27"/>
  <c r="I28"/>
  <c r="I32"/>
  <c r="D25" i="11" s="1"/>
  <c r="I35" i="19"/>
  <c r="I36"/>
  <c r="I38"/>
  <c r="I39"/>
  <c r="I40"/>
  <c r="I41"/>
  <c r="I42"/>
  <c r="I43"/>
  <c r="I45"/>
  <c r="I46"/>
  <c r="I47"/>
  <c r="I48"/>
  <c r="I49"/>
  <c r="L32" l="1"/>
  <c r="D27" i="11"/>
  <c r="D41"/>
  <c r="D42" s="1"/>
  <c r="D12"/>
  <c r="D11" s="1"/>
  <c r="D18" s="1"/>
  <c r="D19"/>
  <c r="D28" s="1"/>
  <c r="D34"/>
  <c r="D35"/>
  <c r="J81" i="19"/>
  <c r="I81"/>
  <c r="J83" s="1"/>
  <c r="D29" i="11"/>
  <c r="D36" s="1"/>
  <c r="D83" i="19"/>
  <c r="D37" i="11" l="1"/>
  <c r="D50" s="1"/>
  <c r="D52" s="1"/>
  <c r="J50"/>
  <c r="J52" s="1"/>
  <c r="K51" l="1"/>
</calcChain>
</file>

<file path=xl/comments1.xml><?xml version="1.0" encoding="utf-8"?>
<comments xmlns="http://schemas.openxmlformats.org/spreadsheetml/2006/main">
  <authors>
    <author>user</author>
  </authors>
  <commentList>
    <comment ref="B16" authorId="0">
      <text>
        <r>
          <rPr>
            <b/>
            <sz val="8"/>
            <color indexed="81"/>
            <rFont val="Tahoma"/>
            <family val="2"/>
          </rPr>
          <t>ເປັນ Unrealized (gain) loss on investment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0">
      <text>
        <r>
          <rPr>
            <b/>
            <sz val="8"/>
            <color indexed="81"/>
            <rFont val="Tahoma"/>
            <family val="2"/>
          </rPr>
          <t xml:space="preserve">ເປັນກຳໄລ-ຂາດທຶນຈາກອັດຕາແລກປ່ຽນ Unrealizes gain(loss ) on Ex rate 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10" authorId="0">
      <text>
        <r>
          <rPr>
            <sz val="8"/>
            <color indexed="81"/>
            <rFont val="Tahoma"/>
            <family val="2"/>
          </rPr>
          <t xml:space="preserve">This amount is for P&amp;L  after tax 
</t>
        </r>
      </text>
    </comment>
    <comment ref="G10" authorId="0">
      <text>
        <r>
          <rPr>
            <b/>
            <sz val="8"/>
            <color indexed="81"/>
            <rFont val="Tahoma"/>
            <family val="2"/>
          </rPr>
          <t xml:space="preserve">Plus for 3908000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" authorId="0">
      <text>
        <r>
          <rPr>
            <b/>
            <sz val="8"/>
            <color indexed="81"/>
            <rFont val="Tahoma"/>
            <family val="2"/>
          </rPr>
          <t>This transection is should not be put, Because is inclued in the P&amp;L or net in the P&amp;L already.</t>
        </r>
      </text>
    </comment>
    <comment ref="I22" authorId="0">
      <text>
        <r>
          <rPr>
            <b/>
            <sz val="8"/>
            <color indexed="81"/>
            <rFont val="Tahoma"/>
            <family val="2"/>
          </rPr>
          <t>1201181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7" authorId="0">
      <text>
        <r>
          <rPr>
            <b/>
            <sz val="8"/>
            <color indexed="81"/>
            <rFont val="Tahoma"/>
            <family val="2"/>
          </rPr>
          <t>More in here  " 1360000"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C12" authorId="0">
      <text>
        <r>
          <rPr>
            <sz val="8"/>
            <color indexed="81"/>
            <rFont val="Tahoma"/>
            <family val="2"/>
          </rPr>
          <t xml:space="preserve">
A/C: 3108210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 xml:space="preserve">A/C: 3810000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" authorId="0">
      <text>
        <r>
          <rPr>
            <b/>
            <sz val="8"/>
            <color indexed="81"/>
            <rFont val="Tahoma"/>
            <family val="2"/>
          </rPr>
          <t xml:space="preserve">A/C: 2362600 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5" authorId="0">
      <text>
        <r>
          <rPr>
            <b/>
            <sz val="8"/>
            <color indexed="81"/>
            <rFont val="Tahoma"/>
            <family val="2"/>
          </rPr>
          <t xml:space="preserve">A/C: 3202000 
Legal Reserve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" authorId="0">
      <text>
        <r>
          <rPr>
            <b/>
            <sz val="8"/>
            <color indexed="81"/>
            <rFont val="Tahoma"/>
            <family val="2"/>
          </rPr>
          <t>= D15, But ( - 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6" authorId="0">
      <text>
        <r>
          <rPr>
            <b/>
            <sz val="8"/>
            <color indexed="81"/>
            <rFont val="Tahoma"/>
            <family val="2"/>
          </rPr>
          <t>A/C: 3203-4-5-8… if any 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" authorId="0">
      <text>
        <r>
          <rPr>
            <b/>
            <sz val="8"/>
            <color indexed="81"/>
            <rFont val="Tahoma"/>
            <family val="2"/>
          </rPr>
          <t>= D 16, But ( - )</t>
        </r>
        <r>
          <rPr>
            <sz val="8"/>
            <color indexed="81"/>
            <rFont val="Tahoma"/>
            <family val="2"/>
          </rPr>
          <t xml:space="preserve">
 If any amount </t>
        </r>
      </text>
    </comment>
    <comment ref="C17" authorId="0">
      <text>
        <r>
          <rPr>
            <b/>
            <sz val="8"/>
            <color indexed="81"/>
            <rFont val="Tahoma"/>
            <family val="2"/>
          </rPr>
          <t xml:space="preserve">A/C: 3108210 If any issue ( More )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" authorId="0">
      <text>
        <r>
          <rPr>
            <b/>
            <sz val="8"/>
            <color indexed="81"/>
            <rFont val="Tahoma"/>
            <family val="2"/>
          </rPr>
          <t xml:space="preserve">= C17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8" authorId="0">
      <text>
        <r>
          <rPr>
            <b/>
            <sz val="8"/>
            <color indexed="81"/>
            <rFont val="Tahoma"/>
            <family val="2"/>
          </rPr>
          <t>A/C: 3908000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" authorId="0">
      <text>
        <r>
          <rPr>
            <b/>
            <sz val="8"/>
            <color indexed="81"/>
            <rFont val="Tahoma"/>
            <family val="2"/>
          </rPr>
          <t>A/C: 2362600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0">
      <text>
        <r>
          <rPr>
            <sz val="8"/>
            <color indexed="81"/>
            <rFont val="Tahoma"/>
            <family val="2"/>
          </rPr>
          <t>Flow the auditor reported 2012 " 3202000"</t>
        </r>
      </text>
    </comment>
    <comment ref="F26" authorId="0">
      <text>
        <r>
          <rPr>
            <b/>
            <sz val="8"/>
            <color indexed="81"/>
            <rFont val="Tahoma"/>
            <family val="2"/>
          </rPr>
          <t>-3202000</t>
        </r>
      </text>
    </comment>
    <comment ref="E27" authorId="0">
      <text>
        <r>
          <rPr>
            <b/>
            <sz val="8"/>
            <color indexed="81"/>
            <rFont val="Tahoma"/>
            <family val="2"/>
          </rPr>
          <t>A/C: 3203-4-5-8… if any 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" authorId="0">
      <text>
        <r>
          <rPr>
            <b/>
            <sz val="8"/>
            <color indexed="81"/>
            <rFont val="Tahoma"/>
            <family val="2"/>
          </rPr>
          <t xml:space="preserve">A/C: 3108210 If any issue ( More )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9" authorId="0">
      <text>
        <r>
          <rPr>
            <b/>
            <sz val="8"/>
            <color indexed="81"/>
            <rFont val="Tahoma"/>
            <family val="2"/>
          </rPr>
          <t>A/C: 3901000</t>
        </r>
        <r>
          <rPr>
            <sz val="8"/>
            <color indexed="81"/>
            <rFont val="Tahoma"/>
            <family val="2"/>
          </rPr>
          <t xml:space="preserve">
 Or 5-4 (ຮັບ-ຈ່າຍ)</t>
        </r>
      </text>
    </comment>
  </commentList>
</comments>
</file>

<file path=xl/sharedStrings.xml><?xml version="1.0" encoding="utf-8"?>
<sst xmlns="http://schemas.openxmlformats.org/spreadsheetml/2006/main" count="2997" uniqueCount="723">
  <si>
    <t>ໂລໂກ້</t>
  </si>
  <si>
    <t>ບໍລິສັດ…………..</t>
  </si>
  <si>
    <t>ເບີໂທ..…………….</t>
  </si>
  <si>
    <t xml:space="preserve">ໃບລາຍງານກະແສເງິນສົດ </t>
  </si>
  <si>
    <t>ຫົວໜ່ວຍ: 1.000.000ກີບ</t>
  </si>
  <si>
    <t>ລຳດັບ</t>
  </si>
  <si>
    <t>ເອກະສານຊ້ອນທ້າຍ</t>
  </si>
  <si>
    <t>ຈຳນວນເງິນ</t>
  </si>
  <si>
    <t>I</t>
  </si>
  <si>
    <t>ກະແສເງິນສົດຈາກກິດຈະກຳການດຳເນີນງານ</t>
  </si>
  <si>
    <r>
      <rPr>
        <u/>
        <sz val="10"/>
        <color theme="1"/>
        <rFont val="Saysettha Unicode"/>
        <family val="2"/>
      </rPr>
      <t>ຜູ້ອຳນວຍການ</t>
    </r>
    <r>
      <rPr>
        <sz val="10"/>
        <color theme="1"/>
        <rFont val="Saysettha Unicode"/>
        <family val="2"/>
      </rPr>
      <t xml:space="preserve">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</si>
  <si>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>ລາຍການ</t>
  </si>
  <si>
    <t>ເງິນສົດ ແລະ ທຽບເທົ່າເງິນສົດຍັງເຫຼືອທ້າຍປີກ່ອນ</t>
  </si>
  <si>
    <t>ເງິນສົດ ແລະ ທຽບເທົ່າເງິນສົດຍັງເຫຼືອທ້າຍປີນີ້</t>
  </si>
  <si>
    <t>1. ​ກໍາໄລ ຫຼື ຂາດທຶນສຸດທິກ່ອນອາກອນ</t>
  </si>
  <si>
    <t>2. ລາຍການປັບປຸງຍອດກຳໄລ ຫຼື ຍອດຂາດທຶນເປັນເງິນສົດຮັບ-ຈ່າຍ</t>
  </si>
  <si>
    <t xml:space="preserve"> 2.1. ຄ່າຫຼຸ້ຍຫ້ຽນ ແລະ ຄ່າເສື່ອມມູນຄ່າສຸດທິຂອງຊັບສົມບັດຄົງທີ່ມີຕົວຕົນ ແລະ ບໍ່ມີຕົວຕົນ</t>
  </si>
  <si>
    <t xml:space="preserve"> 2.2. ຄ່າເສື່ອມມູນຄ່າສຸດທິຂອງເງິນລົງທຶນໃນຫຼັກຊັບ ແລະ ລາຍການອື່ນໆ</t>
  </si>
  <si>
    <t xml:space="preserve"> 2.3. ຂາດທຶນຈາກການຂາຍຊັບສົມບັດຄົງທີ່</t>
  </si>
  <si>
    <t xml:space="preserve"> 2.4. ກຳໄລຈາກການຂາຍຊັບສົມບັດຄົງທີ່</t>
  </si>
  <si>
    <t xml:space="preserve"> 2.5. ສ່ວນປ່ຽນແປງໃນລາຍການດອກເບ້ຍ ແລະ ລາຍຮັບອື່ນໆຄ້າງຮັບ</t>
  </si>
  <si>
    <t xml:space="preserve"> 2.6. ສ່ວນປ່ຽນແປງໃນລາຍການດອກເບ້ຍ ແລະ ລາຍຈ່າຍອື່ນໆຄ້າງຈ່າຍ</t>
  </si>
  <si>
    <t xml:space="preserve"> 3.1. ເງິນຝາກທະນາຄານ ແລະ ສະຖາບັນການເງິນ</t>
  </si>
  <si>
    <t xml:space="preserve"> 3.2. ເງິນລົງທຶນໄລຍະສັ້ນ</t>
  </si>
  <si>
    <t xml:space="preserve"> 3.3. ໜີ້ຕ້ອງຮັບທາງການຄ້າ</t>
  </si>
  <si>
    <t xml:space="preserve"> 3.4. ໜີ້ຕ້ອງຮັບທາງທຸລະກຳຫຼັກຊັບ</t>
  </si>
  <si>
    <t xml:space="preserve"> 3.5. ໜີ້ຕ້ອງຮັບລະຫວ່າງບໍລິສັດໃນກຸ່ມ</t>
  </si>
  <si>
    <t xml:space="preserve"> 3.6. ໜີ້ຕ້ອງຮັບອື່ນໆ</t>
  </si>
  <si>
    <t xml:space="preserve"> 3.7. ເຄື່ອງໃນສາງ</t>
  </si>
  <si>
    <t xml:space="preserve"> 3.8. ຊັບສິນໝູນວຽນອື່ນໆ</t>
  </si>
  <si>
    <t>3. ການປ່ຽນແປງ(ເພີ່ມຂຶ້ນ ຫຼື ຫຼຸດລົງ) ໃນລາຍການຊັບສິນໝູນວຽນ</t>
  </si>
  <si>
    <t xml:space="preserve">ກ. ກະແສເງິນສົດສຸດທິຈາກກິດຈະກຳການດຳເນີນງານກ່ອນການປ່ຽນແປງໃນລາຍການຊັບສິນ ແລະ ໜີ້ສິນໝູນວຽນ </t>
  </si>
  <si>
    <t xml:space="preserve">ຂ. ກະແສເງິນສົດສຸດທິຈາກການປ່ຽນແປງໃນຊັບສິນໝູນວຽນ </t>
  </si>
  <si>
    <t>4. ການປ່ຽນແປງ(ເພີ່ມຂຶ້ນ ຫຼື ຫຼຸດລົງ) ໃນລາຍການໜີ້ສິນໝູນວຽນ</t>
  </si>
  <si>
    <t xml:space="preserve"> 4.1. ໜີ້ຕ້ອງສົ່ງທາງການຄ້າ</t>
  </si>
  <si>
    <t xml:space="preserve"> 4.2. ໜີ້ຕ້ອງສົ່ງທາງທຸລະກຳຫຼັກຊັບ</t>
  </si>
  <si>
    <t xml:space="preserve"> 4.3. ໜີ້ຕ້ອງສົ່ງລະຫວ່າງບໍລິສັດໃນກຸ່ມ</t>
  </si>
  <si>
    <t xml:space="preserve"> 4.4. ອາກອນກຳໄລຄ້າງຈ່າຍ</t>
  </si>
  <si>
    <t xml:space="preserve"> 4.5. ໜີ້ຕ້ອງສົ່ງອື່ນໆ</t>
  </si>
  <si>
    <t xml:space="preserve"> 4.6. ໜີ້ສິນໝູນວຽນອື່ນໆ</t>
  </si>
  <si>
    <t>ຄ. ກະແສເງິນສົດສຸດທິຈາກການປ່ຽນແປງໃນໜີ້ສິນໝູນວຽນ</t>
  </si>
  <si>
    <t xml:space="preserve">ກະແສເງິນສົດສຸດທິຈາກກິດຈະກຳດຳເນີນງານ </t>
  </si>
  <si>
    <t>II</t>
  </si>
  <si>
    <t>​ກະແສເງິນສົດຈາກກິດຈະກໍາລົງທຶນ</t>
  </si>
  <si>
    <t>2. ສ່ວນເພີ່ມຫຼືຫຼຸດໃນລາຍໜີ້ຕ້ອງຮັບໄລຍະຍາວ ແລະ ຊັບສິນໄລຍະຍາວອື່ນໆ</t>
  </si>
  <si>
    <t>1. ສ່ວນເພີ່ມຫຼືຫຼຸດໃນລາຍການເງິນລົງທຶນໄລຍະຍາວ</t>
  </si>
  <si>
    <t>3. ສ່ວນເພີ່ມຫຼືຫຼຸດໃນລາຍການຊັບສົມບັດຄົງທີ່</t>
  </si>
  <si>
    <t>ກະແສເງິນສົດສຸດທິຈາກກິດຈະກຳລົງທຶນ</t>
  </si>
  <si>
    <t>III</t>
  </si>
  <si>
    <t>ກະແສເງິນສົດຈາກກິດຈະກຳຈັດຫາເງິນ</t>
  </si>
  <si>
    <t>1. ສ່ວນເພີ່ມຫຼືຫຼຸດໃນລາຍການເງິນກູ້ຢືມມາ ແລະ ໜີ້ຕ້ອງສົ່ງໄລຍະຍາວອື່ນໆ</t>
  </si>
  <si>
    <t>2. ສ່ວນເພີ່ມຫຼືຫຼຸດໃນການອອກຮຸ້ນ</t>
  </si>
  <si>
    <t>3. ທຶນປະກອບທີ່ໄດ້ຮັບໃນປີ</t>
  </si>
  <si>
    <t>4. ຈ່າຍເງິນປັນຜົນ</t>
  </si>
  <si>
    <t>IV</t>
  </si>
  <si>
    <t xml:space="preserve">ກະແສເງິນສົດສຸດທິຈາກກິດຈະກຳຈັດຫາເງິນ </t>
  </si>
  <si>
    <t>ຍອດເຫຼືອບັນຊີ 3901</t>
  </si>
  <si>
    <t>ປະຈຳປີ...............</t>
  </si>
  <si>
    <t>ປີນີ້</t>
  </si>
  <si>
    <t>ປີກ່ອນ</t>
  </si>
  <si>
    <t>ເງິນສົດ ແລະ ທຽບເທົ່າເງິນສົດເພີ່ມຂຶ້ນ ຫຼື ຫຼຸດລົງສຸດທິໃນປີ</t>
  </si>
  <si>
    <t>ເຄື່ອງໝາຍ</t>
  </si>
  <si>
    <t>ເລກບັນຊີ</t>
  </si>
  <si>
    <t>+</t>
  </si>
  <si>
    <t>-</t>
  </si>
  <si>
    <t>ເງິນສົດ ແລະ ທຽບເທົ່າເງິນສົດ</t>
  </si>
  <si>
    <t>+/-</t>
  </si>
  <si>
    <t>ບ/ຊ 148</t>
  </si>
  <si>
    <t>ບ/ຊ 4506+410416</t>
  </si>
  <si>
    <t>ບ/ຊ 5506+510416+510426</t>
  </si>
  <si>
    <t>-/+</t>
  </si>
  <si>
    <t>ບ/ຊ 1121+1131+1122</t>
  </si>
  <si>
    <t>ບ/ຊ 12011</t>
  </si>
  <si>
    <t>ບ/ຊ 120611+12311+123151+1241+1261</t>
  </si>
  <si>
    <t>ບ/ຊ 12111+121121</t>
  </si>
  <si>
    <t>ບ/ຊ 1371+1373+1376+1378-1379</t>
  </si>
  <si>
    <t>ບ/ຊ 22111+22121</t>
  </si>
  <si>
    <t>ບ/ຊ 236111</t>
  </si>
  <si>
    <t>ບ/ຊ 2161+2261+23361+236112+236113+236114+236118+2362</t>
  </si>
  <si>
    <t>ບ/ຊ 23612+23613+23614+23618+238+2238</t>
  </si>
  <si>
    <t>ບ/ຊ 3101+3103+3104+3102+3108+3201</t>
  </si>
  <si>
    <t>ບ/ຊ 1101+1108</t>
  </si>
  <si>
    <t>1299111+1299121+1299131+1299141+1299211+1299221+1299231+1199241+1199112+</t>
  </si>
  <si>
    <t>1199113+1199122+1199123+1199132+1199133+1199142+1199143+1199212+1199213+</t>
  </si>
  <si>
    <t>1199222+1199223+1199232+1199233+1199242+1199243+1299112+1299113+1299122+</t>
  </si>
  <si>
    <t>1299123+1299132+1299133+1299142+1299143+1299212+1299222+1299232+1299142</t>
  </si>
  <si>
    <t>ບ/ຊ 13011+13021+13025+13026+(130311-130391)+(130312-130392)+130351+130352+1311</t>
  </si>
  <si>
    <t>ບ/ຊ 113211+1132121+113221+1132221+119111+119121+119131+119141+119211+</t>
  </si>
  <si>
    <t>119221+119231+119241+1207+129111+12921+129131+129141+129211+129221+129231+</t>
  </si>
  <si>
    <t>129241</t>
  </si>
  <si>
    <t>ບ/ຊ 2127+2137+21472167+2237+2247+2267+23017+23027+23317+23327+23357+23367+</t>
  </si>
  <si>
    <t>2347+2367</t>
  </si>
  <si>
    <t>ບ/ຊ 23011+23021+23022+231+23311+23321+23351+2341+2342+2343+2344+2346</t>
  </si>
  <si>
    <t>ບ/ຊ 1411+(130411-130491)+(130412-130492)+130451+130452+13046+1412+1413+1414+</t>
  </si>
  <si>
    <t>1415</t>
  </si>
  <si>
    <t>ບ/ຊ 121122+121123+1132122+1132123+1132222+1132223+119112+119113+119122+</t>
  </si>
  <si>
    <t>119123+119132+119133+119142+119143+119212+119213+119222+119223+119232+</t>
  </si>
  <si>
    <t>119233+119242+119243+120612+120613+123152+129112+129113+129122+129123+</t>
  </si>
  <si>
    <t>129132+129133+129142+129143+129212+129222+129232+129242</t>
  </si>
  <si>
    <t>ບ/ຊ 212211+212212+2122151+212221+212222+2122251+213211+213212+2132151+</t>
  </si>
  <si>
    <t>213221+213222+2132251+2141+2142+2231+22351+2241+2122152+2122153+2122252+</t>
  </si>
  <si>
    <t>2122253+2132152+2132153+2132252+2132253+221122+221123</t>
  </si>
  <si>
    <t>ບ/ຊ 1361+1362+138+1138</t>
  </si>
  <si>
    <t>ບ/ຊ 1431+1432-1439+1441-14491+1451-14951+1442-14492+1452-144952</t>
  </si>
  <si>
    <t>ບ/ຊ 1319+1419+1199111+1199121+1199131+1199141+1199211+1199231+1199241+</t>
  </si>
  <si>
    <r>
      <rPr>
        <u/>
        <sz val="10"/>
        <color theme="1"/>
        <rFont val="Saysettha Unicode"/>
        <family val="2"/>
      </rPr>
      <t xml:space="preserve">     ຜູ້ອຳນວຍການ</t>
    </r>
    <r>
      <rPr>
        <sz val="10"/>
        <color theme="1"/>
        <rFont val="Saysettha Unicode"/>
        <family val="2"/>
      </rPr>
      <t xml:space="preserve">              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</si>
  <si>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 xml:space="preserve">  4.3. ໜີ້ຕ້ອງສົ່ງລະຫວ່າງບໍລິສັດໃນກຸ່ມ</t>
  </si>
  <si>
    <t xml:space="preserve">  4.4. ອາກອນກຳໄລຄ້າງຈ່າຍ</t>
  </si>
  <si>
    <t xml:space="preserve">  4.5. ໜີ້ຕ້ອງສົ່ງອື່ນໆ</t>
  </si>
  <si>
    <t xml:space="preserve">  4.6. ໜີ້ສິນໝູນວຽນອື່ນໆ</t>
  </si>
  <si>
    <t>ສາທາລະນະລັດ ປະຊາທິປະໄຕ ປະຊາຊົນລາວ</t>
  </si>
  <si>
    <t>ສັນຕິພາບ ເອກະລາດ ປະຊາທິປະໄຕ ເອກະພາບ ວັດທະນາຖາວອນ</t>
  </si>
  <si>
    <t>ບໍລິສັດຫຼັກຊັບ ທຄຕລ-ກທ ຈຳກັດ_x000D_
ຊັ້ນ7, ຕຶກຕະຫຼາກຫຼັກຊັບລາວ, ຖະໜົນກຳແພງເມືອງ_x000D_
+856-21-265477+856-21-265488</t>
  </si>
  <si>
    <t>ໃບສະຫລຸບຊັບສົມບັດ</t>
  </si>
  <si>
    <t>ໃນປີ 2012</t>
  </si>
  <si>
    <t>ລ/ດ</t>
  </si>
  <si>
    <t>ເນື້ອໃນລາຍການ</t>
  </si>
  <si>
    <t>1. ​ເງິນສົດ ​ແລະ ທຽບ​ເທົ່​າເງິນສົດ</t>
  </si>
  <si>
    <t>1101100</t>
  </si>
  <si>
    <t>ເງິນສົດໃນຄັງ " HO " ກີບ</t>
  </si>
  <si>
    <t xml:space="preserve">    2.1. ເງິນຝາກທະນາຄານ</t>
  </si>
  <si>
    <t>1131115</t>
  </si>
  <si>
    <t>ບັນຊີກະແສລາຍວັນ ທຄຕລ Aggregate AC: 010.4.19.00.00010 ( ກີບ )</t>
  </si>
  <si>
    <t>1131116</t>
  </si>
  <si>
    <t>ບັນຊີກະແສລາຍວັນ ທຄຕລ for ETL staff IPO AC: 010.9.00.00001 ( ກີບ )</t>
  </si>
  <si>
    <t>1131154</t>
  </si>
  <si>
    <t>ບັນຊີຝາກມີກຳນົດທີ່ ທສກ: 0402.0402.00.2131315.47.00000004 ( ກີບ )</t>
  </si>
  <si>
    <t>1131110</t>
  </si>
  <si>
    <t>ບັນຊີກະແສລາຍວັນ ທຄຕລ: 010.0.11.00.24740 ( ກີບ )</t>
  </si>
  <si>
    <t>1131159</t>
  </si>
  <si>
    <t>ບັນຊີຝາກມີກຳນົດທີ່ ST Bank: 010.5.35.00.08899 ( ກີບ )</t>
  </si>
  <si>
    <t>1131113</t>
  </si>
  <si>
    <t>ບັນຊີກະແສລາຍວັນ ທຄຕລ Proprietary AC: 010.4.19.00.00009 ( ກີບ )</t>
  </si>
  <si>
    <t>1131162</t>
  </si>
  <si>
    <t>ບັນຊີເງິນຝາກມີກຳນົດ ທີ່ ທະນາຄານ ເອຊີລີດາ  ( ກີບ )</t>
  </si>
  <si>
    <t>1131111</t>
  </si>
  <si>
    <t>ບັນຊີກະແສລາຍວັນ ທຄຕລ: 010.7.11.02.08233 ( ບາດ )</t>
  </si>
  <si>
    <t>1131134</t>
  </si>
  <si>
    <t>ບັນຊີຝາກປະຢັດທີ່ ທສກ: 0402.0.00.220130 ( ກີບ )</t>
  </si>
  <si>
    <t>1131131</t>
  </si>
  <si>
    <t>ບັນຊີຝາກປະຢັດທີ່ ທຄຕລ: 013.9.12.01.00001 ( ໂດລ່າ )</t>
  </si>
  <si>
    <t>1121110</t>
  </si>
  <si>
    <t>ບັນຊີທຶນຈົດທະບຽນຂອງ ທຄຕລ-ກທ ຈຳກັດ ( ກີບ )</t>
  </si>
  <si>
    <t>1131112</t>
  </si>
  <si>
    <t>ບັນຊີກະແສລາຍວັນ ທຄຕລ: 010.9.11.01.19243 ( ໂດລ່າ )</t>
  </si>
  <si>
    <t>1131121</t>
  </si>
  <si>
    <t>ບັນຊີກະແສລາຍວັນ ເອຊີລີດາ 123359-1-1-101</t>
  </si>
  <si>
    <t>1131153</t>
  </si>
  <si>
    <t>ບັນຊີຝາກມີກຳນົດທີ່ ທສກ: 0402.0402.00.2131315.47.00000003 ( ກີບ )</t>
  </si>
  <si>
    <t>1131130</t>
  </si>
  <si>
    <t>ບັນຊີຝາກປະຢັດທີ່ ທຄຕລ: 013.2.12.00.00036 ກີບ</t>
  </si>
  <si>
    <t>1131137</t>
  </si>
  <si>
    <t>ບັນຊີຝາກປະຍັດ ທຄຕລ-ກທ ທີ່ ເອຊີລີດາ 123359-1-0-0101 ( ກີບ )</t>
  </si>
  <si>
    <t xml:space="preserve">    3.1. ເງິນລົງທຶນໄລຍະສັ້ນ</t>
  </si>
  <si>
    <t>1302216</t>
  </si>
  <si>
    <t>ເງິນລົງທືນຊົ່ວຄາວຫຼັກຊັບ-ເພື່ອຄ້າ-Port Trading</t>
  </si>
  <si>
    <t>1302218</t>
  </si>
  <si>
    <t>ຄ່າປັບມູນຄ່າເງິນລົງທືນຊົ່ວຄາວຫຼັກຊັບ-ເພື່ອຄ້າ-Port trading</t>
  </si>
  <si>
    <t xml:space="preserve">    4.1.  ໜີ້ຕ້ອງ​ຮັບ​ທາງການຄ້າ</t>
  </si>
  <si>
    <t>1201181</t>
  </si>
  <si>
    <t>ລູກໜີ້ຊື້ຫຼັກຊັບຕາມຄຳສັ່ງຊື້-ບັນຊີເງິນສົດ</t>
  </si>
  <si>
    <t xml:space="preserve">    4.3.  ໜີ້ຕ້ອງ​ຮັບ​ລະຫວ່າງ​ບໍລິສັດໃນກຸ່ມ</t>
  </si>
  <si>
    <t>1211110</t>
  </si>
  <si>
    <t>ລູກໜີ້ບັນຊີຊື້-ຂາຍຫຼັກຊັບລະຫວ່າງບ/ສ ກັບ LSX</t>
  </si>
  <si>
    <t>6. ຊັບສິນໝູນວຽນອື່ນໆ</t>
  </si>
  <si>
    <t>1360000</t>
  </si>
  <si>
    <t>ລູກໜີ້ອື່ນໆ</t>
  </si>
  <si>
    <t>1361300</t>
  </si>
  <si>
    <t>ອາກອນອື່ນໆທີ່ຕ້ອງຮັບຄືນ</t>
  </si>
  <si>
    <t>1362100</t>
  </si>
  <si>
    <t>ເງິນຈ່າຍລ່ວງໜ້າເພື່ອເຄື່ອນໄຫວວຽກງານ</t>
  </si>
  <si>
    <t>1361100</t>
  </si>
  <si>
    <t>ອາກອນກຳໄລມອບລ່ວງໜ້າ</t>
  </si>
  <si>
    <t>2. ຊັບສິນຄົງທີ່ບໍ່ມີຕົວຕົນ</t>
  </si>
  <si>
    <t>1441810</t>
  </si>
  <si>
    <t>ຊັອບແວຄອມພີວເຕີ່</t>
  </si>
  <si>
    <t>3. ຊັບ​ສົມບັດຄົງ​ທີ່​ມີຕົວຕົນ</t>
  </si>
  <si>
    <t>1442510</t>
  </si>
  <si>
    <t>ຄ່າຕົບແຕ່ງສຳນັກງານ</t>
  </si>
  <si>
    <t>1442400</t>
  </si>
  <si>
    <t>ພາຫະນະຂົນສົ່ງ</t>
  </si>
  <si>
    <t>1442710</t>
  </si>
  <si>
    <t>ອຸປະກອນສຳນັກງານ</t>
  </si>
  <si>
    <t>1442610</t>
  </si>
  <si>
    <t>ອຸປະກອນຄອມພີວເຕີ່</t>
  </si>
  <si>
    <t>1442720</t>
  </si>
  <si>
    <t>ອຸປະກອນເຟີນີເຈີ່</t>
  </si>
  <si>
    <t>4. ຄ່າຫຼຸ້ຍຫ້ຽນສະສົມ ຊັບສົມບັດຄົງທີ່</t>
  </si>
  <si>
    <t>1481261</t>
  </si>
  <si>
    <t>ຄ່າຫຼຸ່ຍຫ້ຽນສະສົມ ອຸປະກອນຄອມພີວເຕີ່</t>
  </si>
  <si>
    <t>1481251</t>
  </si>
  <si>
    <t>ຄ່າຫຼຸ່ຍຫ້ຽນສະສົມ ຄ່າຕົບແຕ່ງສຳນັກງານ</t>
  </si>
  <si>
    <t>1481272</t>
  </si>
  <si>
    <t>ຄ່າຫຼຸ່ຍຫ້ຽນສະສົມ ເຟີນີເຈີ່</t>
  </si>
  <si>
    <t>1481271</t>
  </si>
  <si>
    <t>ຄ່າຫຼຸ່ຍຫ້ຽນສະສົມ ອຸປະກອນສຳນັກງານ</t>
  </si>
  <si>
    <t>1481240</t>
  </si>
  <si>
    <t>ຄ່າຫຼຸ່ຍຫ້ຽນສະສົມພາຫະນະ</t>
  </si>
  <si>
    <t>1481181</t>
  </si>
  <si>
    <t>ຄ່າຕັດຈຳໜ່າຍຄອມພີວເຕີ່ຊ້ອບແວສະສົມ</t>
  </si>
  <si>
    <t>1. ດອກເບ້ຍແລະເງິນປັນຜົນຄ້າງຮັບ</t>
  </si>
  <si>
    <t>1137111</t>
  </si>
  <si>
    <t>ດອກເບ້ຍຝາກມີກຳນົດ ຄ້າງຮັບ 1 ປີລົງມາ</t>
  </si>
  <si>
    <t>1301720</t>
  </si>
  <si>
    <t>ຄ່າທີ່ປຶກສາຄ້າງຮັບ</t>
  </si>
  <si>
    <t>2. ບັນຊີຊໍາລະສະສາງ</t>
  </si>
  <si>
    <t>1388170</t>
  </si>
  <si>
    <t>ຄ່າໜັງສືພີມ ຈ່າຍລ່ວງໜ້າອື່ນໆ</t>
  </si>
  <si>
    <t>1388120</t>
  </si>
  <si>
    <t>ຄ່າປະກັນໄພຈ່າຍລ່ວງໜ້າ</t>
  </si>
  <si>
    <t>1388110</t>
  </si>
  <si>
    <t>ຄ່າເຊົ່າຈ່າຍລ່ວງໜ້າ</t>
  </si>
  <si>
    <t>1388180</t>
  </si>
  <si>
    <t>ລາຍຈ່າຍ ຈ່າຍລ່ວງໜ້າອື່ນໆ</t>
  </si>
  <si>
    <t>3. ເງິນວາງຄ້ຳປະກັນ</t>
  </si>
  <si>
    <t>1138810</t>
  </si>
  <si>
    <t>ເງິນມັດຈຳຄ່າເຊົ່າ</t>
  </si>
  <si>
    <t>1138100</t>
  </si>
  <si>
    <t>ກອງທຶນປົກປ້ອງຄວາມສ່ຽງໃນການຊຳລະສະສາງ</t>
  </si>
  <si>
    <t>3. ໜີ້ຕ້ອງສົ່ງທາງທຸລະກຳຫລັກຊັບ</t>
  </si>
  <si>
    <t>2344700</t>
  </si>
  <si>
    <t>ເຈົ້າໜີ້ລໍຖ້າຖອນເງີນຄືນ</t>
  </si>
  <si>
    <t>2344100</t>
  </si>
  <si>
    <t>ເຈົ້າໜີ້ບັນຊີຊື້-ຂາຍຫຼັກຊັບຕາມຄຳສັ່ງຊື້-ບັນຊີເງິນສົດ</t>
  </si>
  <si>
    <t>2344200</t>
  </si>
  <si>
    <t>ບັນຊີເງິນລູກຄ້າ- Cash Balance</t>
  </si>
  <si>
    <t>4. ໜີ້ຕ້ອງ​ສົ່ງ​ລະຫວ່າງ​ບໍລິສັດໃນກຸ່ມ</t>
  </si>
  <si>
    <t>2211110</t>
  </si>
  <si>
    <t>ເຈົ້າໜີ້ຕະຫຼາດຫຼັກຊັບ LSX</t>
  </si>
  <si>
    <t>5. ອາກອນກຳໄລຄ້າງຈ່າຍ</t>
  </si>
  <si>
    <t>2361110</t>
  </si>
  <si>
    <t>ອາກອນກຳໄລທີ່ຕ້ອງມອບເພີ່ມ</t>
  </si>
  <si>
    <t>6. ໜີ້ຕ້ອງສົ່ງອື່ນໆ</t>
  </si>
  <si>
    <t>2361120</t>
  </si>
  <si>
    <t>ອາກອນມູນຄ່າເພີ່ມທີ່ຕ້ອງມອບເພີ່ມ</t>
  </si>
  <si>
    <t>2361130</t>
  </si>
  <si>
    <t>ພາສີ ແລະອາກອນຕ່າງໆ ທີ່ຫັກໄວ້ຕ້ອງສົ່ງມອບ</t>
  </si>
  <si>
    <t>2361140</t>
  </si>
  <si>
    <t>ອາກອນເງິນເດືອນຕ້ອງສົ່ງມອບ</t>
  </si>
  <si>
    <t>1. ບັນຊີຊໍາລະສະສາງ</t>
  </si>
  <si>
    <t>2361420</t>
  </si>
  <si>
    <t>ຄ່າ terminal LSX ຄ້າງຈ່າຍ</t>
  </si>
  <si>
    <t>2361831</t>
  </si>
  <si>
    <t>ຄ່າໄຟຟ້າຄ້າງຈ່າຍ</t>
  </si>
  <si>
    <t>2361430</t>
  </si>
  <si>
    <t>ຄ່າ Displayer LSX ຄ້າງຈ່າຍ</t>
  </si>
  <si>
    <t>2363682</t>
  </si>
  <si>
    <t>ບັນຊີເຈົ້າໜີ້ KTZmico Co.,Ltd</t>
  </si>
  <si>
    <t>2361440</t>
  </si>
  <si>
    <t>ຄ່າໃຊ້ຈ່າຍຄ້າງຈ່າຍອື່ນໆ</t>
  </si>
  <si>
    <t>2361410</t>
  </si>
  <si>
    <t>ຄ່າບໍລິການຄ້າງຈ່າຍ</t>
  </si>
  <si>
    <t>2361830</t>
  </si>
  <si>
    <t>ຄ່າໄຟຟ້າ ແລະນ້ຳປະປາຄ້າງຈ່າຍ</t>
  </si>
  <si>
    <t>2363684</t>
  </si>
  <si>
    <t>ບັນຊີເຈົ້າໜີ້ອື່ນໆ</t>
  </si>
  <si>
    <t xml:space="preserve">     1.2 ທຶນຈົດທະບຽນຍັງບໍ່ທັນຖອກ</t>
  </si>
  <si>
    <t>3108210</t>
  </si>
  <si>
    <t>ທຶນຈົດທະບຽນທີ່ຖອກແລ້ວ</t>
  </si>
  <si>
    <t>3. ກຳໄລ(ຂາດທຶນ)ສະສົມ</t>
  </si>
  <si>
    <t>3810000</t>
  </si>
  <si>
    <t>ກຳໄລ-ຂາດທຶນສະສົມ</t>
  </si>
  <si>
    <t>5. ຜົນໄດ້ຮັບໃນປີ</t>
  </si>
  <si>
    <t>3901000</t>
  </si>
  <si>
    <t>ກຳໄລ-ຂາດ ທຶນໃນປີ</t>
  </si>
  <si>
    <t>ນະຄອນຫຼວງວຽງຈັນ ວັນທີ : ......../......../............  ,</t>
  </si>
  <si>
    <t>ຜູ້ອຳນວຍການ</t>
  </si>
  <si>
    <t>ທີ່ປຶກສາບັນຊີ</t>
  </si>
  <si>
    <t>ພະນັກງານບັນຊີ</t>
  </si>
  <si>
    <t>ຜູ້ສັງລວມ</t>
  </si>
  <si>
    <t>............…………………......</t>
  </si>
  <si>
    <t>...…………………………..</t>
  </si>
  <si>
    <t>ໜີ້</t>
  </si>
  <si>
    <t>ມີ</t>
  </si>
  <si>
    <t>1131117</t>
  </si>
  <si>
    <t>ບັນຊີກະແສລາຍວັນ ທຄຕລ ສຳລັບການຈອງ RO EDL-Gen :010.8.19.00.00012 LAk</t>
  </si>
  <si>
    <t>1131119</t>
  </si>
  <si>
    <t>ບັນຊີກະແສລາຍວັນ ທຄຕລ ສຳລັບການ​ຈອງ PO EDL: 010.5.19.00.00013 Lak</t>
  </si>
  <si>
    <t>1131120</t>
  </si>
  <si>
    <t>ບັນຊີກະແສລາຍວັນ ທຄຕລ ສຳລັບການ​ຈອງ PO EDL: 010.4.19.01.00006 USD</t>
  </si>
  <si>
    <t>1131156</t>
  </si>
  <si>
    <t>ບັນຊີຝາກມີກຳນົດທີ່ Sacom Bank: 40.000006310.8 ( ກີບ )</t>
  </si>
  <si>
    <t>1138830</t>
  </si>
  <si>
    <t>ເງິນມັດຈຳອື່ນໆ</t>
  </si>
  <si>
    <t>1361500</t>
  </si>
  <si>
    <t>ລູນໜີ້ ເຄທີຂີມີໂກ້ ຈຳກັດ</t>
  </si>
  <si>
    <t>1482280</t>
  </si>
  <si>
    <t>ບັນຊີພັກອື່ນໆ</t>
  </si>
  <si>
    <t>2267100</t>
  </si>
  <si>
    <t>ຄ່າເບ້ຍປະຊຸມຄ້າງຈ່າຍ</t>
  </si>
  <si>
    <t>2344600</t>
  </si>
  <si>
    <t>ບັນຊີເຈົ້າໜີ້ຄ່າຈອງຊື້ຮຸ້ນ</t>
  </si>
  <si>
    <t>ອາກອນມູນຄ່າເພີ່ມທີ່ຕ້ອງມອບ</t>
  </si>
  <si>
    <t>2363683</t>
  </si>
  <si>
    <t>ບັນຊີເຈົ້າໜີ້ BCEL</t>
  </si>
  <si>
    <t>2363686</t>
  </si>
  <si>
    <t>ໜີ້ສິນອື່ນໆ</t>
  </si>
  <si>
    <t>4102730</t>
  </si>
  <si>
    <t>ຄ່າບໍລິການເຊົ່າລະບົບເທີມີນໍ່ LSX</t>
  </si>
  <si>
    <t>4102731</t>
  </si>
  <si>
    <t>ຄ່າບໍລິການເຊົ່າລະບົບດິດສເປຣເຢີ່ LSX</t>
  </si>
  <si>
    <t>4108210</t>
  </si>
  <si>
    <t>ຄ່າທຳນຽມທະນາຄານ ( ຈ່າຍ )</t>
  </si>
  <si>
    <t>4201100</t>
  </si>
  <si>
    <t>ເງິນເດືອນພະນັກງານໃນການຈັດຕັ້ງ</t>
  </si>
  <si>
    <t>4201200</t>
  </si>
  <si>
    <t>ເງິນເດືອນພະນັກງານຊົ່ວຄາວ</t>
  </si>
  <si>
    <t>4201400</t>
  </si>
  <si>
    <t>ເງິນເພີ່ມໂມງ</t>
  </si>
  <si>
    <t>4202110</t>
  </si>
  <si>
    <t>ເງິນບຳເນັດ</t>
  </si>
  <si>
    <t>4202200</t>
  </si>
  <si>
    <t>ລາຍຈ່າຍຄ່າປະກັນໄພພະນັກງານ</t>
  </si>
  <si>
    <t>4202210</t>
  </si>
  <si>
    <t>ລາຍຈ່າຍຄ່າຮັກສາພະຍາບານ</t>
  </si>
  <si>
    <t>4202220</t>
  </si>
  <si>
    <t>ລາຍຈ່າຍຄ່ານ້ຳມັນລົດພະນັກງານ</t>
  </si>
  <si>
    <t>4202800</t>
  </si>
  <si>
    <t>ລາຍຈ່າຍສະຫວັດດີການພະນັກງານອື່ນໆ</t>
  </si>
  <si>
    <t>4202811</t>
  </si>
  <si>
    <t>ລາຍຈ່າຍເບ້ຍປະຊູມສະພາບໍລິຫານ</t>
  </si>
  <si>
    <t>4203100</t>
  </si>
  <si>
    <t>ສຳມະນາ ແລະຝຶກອົບຮົມພາຍໃນປະເທດ</t>
  </si>
  <si>
    <t>4203200</t>
  </si>
  <si>
    <t>ສຳມະນາ ແລະຝຶກອົບຮົມຕ່າງປະເທດ</t>
  </si>
  <si>
    <t>4208200</t>
  </si>
  <si>
    <t>ຄ່າໃຊ້ຈ່າຍໃນການຈັດຫາພະນັກງານ</t>
  </si>
  <si>
    <t>4208300</t>
  </si>
  <si>
    <t>ຄ່າໃຊ້ຈ່າຍໃນການຈັດກິດຈະກຳພະນັກງານ</t>
  </si>
  <si>
    <t>4208400</t>
  </si>
  <si>
    <t>ຄ່າອາຫານຈັດປະຂູມພະນັກງານ</t>
  </si>
  <si>
    <t>4208500</t>
  </si>
  <si>
    <t>ນ້ຳດື່ມພະນັກງານ</t>
  </si>
  <si>
    <t>4208600</t>
  </si>
  <si>
    <t>ຄ່າ Licence ເຈົ້າໜ້າທີ່ການຕະຫຼາດ</t>
  </si>
  <si>
    <t>4208810</t>
  </si>
  <si>
    <t>ຄ່າເຄື່ອງແບບພະນັກງານ</t>
  </si>
  <si>
    <t>4350000</t>
  </si>
  <si>
    <t>ອາກອນສະແຕມ</t>
  </si>
  <si>
    <t>4360000</t>
  </si>
  <si>
    <t>ອາກອນອື່ນໆ</t>
  </si>
  <si>
    <t>4402100</t>
  </si>
  <si>
    <t>ຄ່າເຊົ່າອາຄານ ແລະສຳນັກງານ</t>
  </si>
  <si>
    <t>4402200</t>
  </si>
  <si>
    <t>ຄ່າເຊົ່າສະຖານທີ່ຈອດລົດ</t>
  </si>
  <si>
    <t>4402300</t>
  </si>
  <si>
    <t>ຄ່າເຊົ່າພາຫະນະຂົນສົ່ງ</t>
  </si>
  <si>
    <t>4402400</t>
  </si>
  <si>
    <t>ຄ່າເຊົ່າອຸປະກອນສຳນັກງານ</t>
  </si>
  <si>
    <t>4403111</t>
  </si>
  <si>
    <t>Trading fees</t>
  </si>
  <si>
    <t>4403112</t>
  </si>
  <si>
    <t>Clearing fees</t>
  </si>
  <si>
    <t>4403113</t>
  </si>
  <si>
    <t>Settlement fees</t>
  </si>
  <si>
    <t>4403114</t>
  </si>
  <si>
    <t>Trading tax</t>
  </si>
  <si>
    <t>4403115</t>
  </si>
  <si>
    <t>Seco fees</t>
  </si>
  <si>
    <t>4403200</t>
  </si>
  <si>
    <t>ຄ່າທີ່ປຶກສາທາງດ້ານກົດໝາຍ</t>
  </si>
  <si>
    <t>4403210</t>
  </si>
  <si>
    <t>ຄ່າທີ່ປຶກສາທາງດ້ານການເງິນ</t>
  </si>
  <si>
    <t>4403300</t>
  </si>
  <si>
    <t>ຄ່າກວດສອບບັນຊີ</t>
  </si>
  <si>
    <t>4403310</t>
  </si>
  <si>
    <t>ຄ່າທີ່ປຶກສາບັນຊີ</t>
  </si>
  <si>
    <t>4403420</t>
  </si>
  <si>
    <t>ຄ່າທຳນຽມ ຄລຕ</t>
  </si>
  <si>
    <t>4403430</t>
  </si>
  <si>
    <t>ຄ່າບໍລິຫານງານຂອງວິຊາການຕ່າງປະເທດ</t>
  </si>
  <si>
    <t>4403470</t>
  </si>
  <si>
    <t>ຄ່າບໍລິການຮັກສາຄວາມປອດໄພ</t>
  </si>
  <si>
    <t>4403480</t>
  </si>
  <si>
    <t>ຄ່າບໍລິການ ແລະຕົວແທນຈັດຈຳໜ່າຍ</t>
  </si>
  <si>
    <t>4405100</t>
  </si>
  <si>
    <t>ນ້ຳມັນເຊື້ອໄຟ</t>
  </si>
  <si>
    <t>4405200</t>
  </si>
  <si>
    <t>ຄ່າເດີນທາງພາຍໃນປະເທດ</t>
  </si>
  <si>
    <t>4405210</t>
  </si>
  <si>
    <t>ຄ່າເດີນທາງຕ່າງປະເທດ</t>
  </si>
  <si>
    <t>4405300</t>
  </si>
  <si>
    <t>ຄ່າຂົນສົ່ງ</t>
  </si>
  <si>
    <t>4406100</t>
  </si>
  <si>
    <t>ຄ່າໂຄສະນາ</t>
  </si>
  <si>
    <t>4406200</t>
  </si>
  <si>
    <t>ຄ່າໃຊ້ຈ່າຍໃນການສົ່ງເສີມການຕະຫຼາດ</t>
  </si>
  <si>
    <t>4406300</t>
  </si>
  <si>
    <t>ຄ່າໜັງສືພີມ ແລະວາລະສານ</t>
  </si>
  <si>
    <t>4406500</t>
  </si>
  <si>
    <t>ອື່ນໆ</t>
  </si>
  <si>
    <t>4407100</t>
  </si>
  <si>
    <t>ເຄຶ່ອງໃຊ້ຫ້ອງການ</t>
  </si>
  <si>
    <t>4407200</t>
  </si>
  <si>
    <t>ພີມລາຍງານ ແລະຖ່າຍເອກະສານ</t>
  </si>
  <si>
    <t>4408110</t>
  </si>
  <si>
    <t>ຄ່າທຳນຽມປະກັນໄພລົດ</t>
  </si>
  <si>
    <t>4408210</t>
  </si>
  <si>
    <t>ຄ່າໃຊ້ຈ່າຍອຸປະກອນສຳນັກງານຕ່າງໆ</t>
  </si>
  <si>
    <t>4408211</t>
  </si>
  <si>
    <t>ຄ່າຕິດຕັ້ງອິນເຕີເນັດ ແລະໂທລະສັບ</t>
  </si>
  <si>
    <t>4408220</t>
  </si>
  <si>
    <t>ຄ່າໃຊ້ຈ່າຍອຸປະກອນຄອມພີວເຕີ່</t>
  </si>
  <si>
    <t>4408300</t>
  </si>
  <si>
    <t>ຄ່າຝາກ ແລະຄ່າໄປສະນີ</t>
  </si>
  <si>
    <t>4408310</t>
  </si>
  <si>
    <t>ຄ່າໂທລະສັບຕັ້ງໂຕະ</t>
  </si>
  <si>
    <t>4408320</t>
  </si>
  <si>
    <t>ຄ່າໂທລະສັບມືຖື</t>
  </si>
  <si>
    <t>4408330</t>
  </si>
  <si>
    <t>ຄ່າອິນເຕີເນັດ</t>
  </si>
  <si>
    <t>4408340</t>
  </si>
  <si>
    <t>ຄ່າເວັບໄຊ້</t>
  </si>
  <si>
    <t>4408360</t>
  </si>
  <si>
    <t>ຄ່າຂໍ້ມູນອື່ນໆ</t>
  </si>
  <si>
    <t>4408430</t>
  </si>
  <si>
    <t>ຄ່າບຳລຸງຮັກສາ ແລະສ້ອມອຸປະກອນສຳນັກງານ</t>
  </si>
  <si>
    <t>4408450</t>
  </si>
  <si>
    <t>ຄ່າບຳລຸງຮັກສາ ແລະສ້ອມແປງ ພາຫະນະ</t>
  </si>
  <si>
    <t>4408500</t>
  </si>
  <si>
    <t>ຄ່າໄຟຟ້າ</t>
  </si>
  <si>
    <t>4408610</t>
  </si>
  <si>
    <t>ຄ່າຈັດສຳມະນາໃຫ້ຄວາມຮູ້ແກ່ລູກຄ້າ</t>
  </si>
  <si>
    <t>4408620</t>
  </si>
  <si>
    <t>ຄ່າຂອງຂ້ວນ</t>
  </si>
  <si>
    <t>4408710</t>
  </si>
  <si>
    <t>ຄ່າຮັບແຂກ</t>
  </si>
  <si>
    <t>4408720</t>
  </si>
  <si>
    <t>ອັດຕາກິນ</t>
  </si>
  <si>
    <t>4408730</t>
  </si>
  <si>
    <t>ຄ່າທີພັກພະນັກງານພາຍໃນປະເທດ</t>
  </si>
  <si>
    <t>4408740</t>
  </si>
  <si>
    <t>ຄ່າທີພັກພະນັກງານຕ່າງປະເທດ</t>
  </si>
  <si>
    <t>4408800</t>
  </si>
  <si>
    <t>ຄ່າໃຊ້ຈ່າຍອື່ນໆໃນການບລິຫານ</t>
  </si>
  <si>
    <t>4506100</t>
  </si>
  <si>
    <t>ຂາດທຶນ ( ກຳໄລ ) ສະສາງຊັບສົມບັດຄົງທີ່</t>
  </si>
  <si>
    <t>4601124</t>
  </si>
  <si>
    <t>ຄ່າຫຼຸ້ຍຫ້ຽນພາຫະນະຂົ່ນສົ່ງ</t>
  </si>
  <si>
    <t>4601125</t>
  </si>
  <si>
    <t>ຄ່າຫຼຸ້ຍຫ້ຽນຄ່າຕົບແຕ່ງໃນຫ້ອງການ</t>
  </si>
  <si>
    <t>4601126</t>
  </si>
  <si>
    <t>ຄ່າຫຼຸ້ຍຫ້ຽນເຄື່ອງຈັກຮັບໃຊ້ຫ້ອງການ</t>
  </si>
  <si>
    <t>4601127</t>
  </si>
  <si>
    <t>ຄ່າຫຼຸ້ຍຫ້ຽນເຄື່ງໃຊ້ສຳນັກງານ</t>
  </si>
  <si>
    <t>4601128</t>
  </si>
  <si>
    <t>ຄ່າຫຼຸ່ຍຫ້ຽນເຟີນີເຈີ່ສຳນັກງານ</t>
  </si>
  <si>
    <t>4602110</t>
  </si>
  <si>
    <t>ຄ່າຕັດຈຳໜ່າຍ ແລະຄ່າເສື່ອມSoftware computer</t>
  </si>
  <si>
    <t>4900000</t>
  </si>
  <si>
    <t>ອາກອນກຳໄລບໍລິສັດ</t>
  </si>
  <si>
    <t>5101311</t>
  </si>
  <si>
    <t>ດອກເບ້ຍເງິນຝາກຢູ່ທະນາຄານພາຍໃນປະເທດ</t>
  </si>
  <si>
    <t>5103210</t>
  </si>
  <si>
    <t>ກຳໄລ ( ຂາດທຶນ ) ຈາກການຊື້-ຂາຍຫຼັກຊັບ - Port- Error</t>
  </si>
  <si>
    <t>5103220</t>
  </si>
  <si>
    <t>ກຳໄລ ( ຂາດທຶນ ) ຈາກການຊື້-ຂາຍຫຼັກຊັບ - Port- Trading</t>
  </si>
  <si>
    <t>5103240</t>
  </si>
  <si>
    <t>ກຳໄລ ( ຂາດທຶນ ) ທີ່ຍັງບໍ່ເກີດຈາກການຊື້-ຂາຍຫຼັກຊັບ - Port - Trading</t>
  </si>
  <si>
    <t>5103330</t>
  </si>
  <si>
    <t>ເງິນປັນຜົນຈາກຫຼັກຊັບ</t>
  </si>
  <si>
    <t>5106100</t>
  </si>
  <si>
    <t>ກຳໄລ ( ຂາດທຶນ  ) ຈາກອັດຕາແລກປ່ຽນ</t>
  </si>
  <si>
    <t>5108210</t>
  </si>
  <si>
    <t>ຄ່ານາຍໜ້າຈາກການຊື້-ຂາຍຫຼັກຊັບ</t>
  </si>
  <si>
    <t>5108310</t>
  </si>
  <si>
    <t>ຄ່າບໍລິການທີ່ປຶກສາທາງດ້ານການເງິນ</t>
  </si>
  <si>
    <t>5108330</t>
  </si>
  <si>
    <t>ຄ່າບໍລິການຄ້ຳປະກັນການຂາຍຮຸ້ນ ( IPO )</t>
  </si>
  <si>
    <t>5508400</t>
  </si>
  <si>
    <t>ລາຍຮັບອື່ນໆ</t>
  </si>
  <si>
    <t>ລວມມູນຄ່າ</t>
  </si>
  <si>
    <t>ໃບລາຍງານຜົນໄດ້ຮັບ</t>
  </si>
  <si>
    <t>ລາຍຮັບ</t>
  </si>
  <si>
    <t>1.1</t>
  </si>
  <si>
    <t>ລາຍຮັບຈາກການດຳເນີນງານ</t>
  </si>
  <si>
    <t>1.1.1</t>
  </si>
  <si>
    <t>1. ຄ່ານາຍໜ້າຈາກການຊື້-ຂາຍຫຼັກຊັບ</t>
  </si>
  <si>
    <t>1.1.1.1</t>
  </si>
  <si>
    <t>2. ຄ່າບໍລິການ</t>
  </si>
  <si>
    <t>1.1.1.2</t>
  </si>
  <si>
    <t xml:space="preserve">   2.1.  ຄ່າບໍລິການໃຫ້ຄຳປຶກສາທາງດ້ານການເງິນ</t>
  </si>
  <si>
    <t>1.1.1.2.1</t>
  </si>
  <si>
    <t xml:space="preserve">   2.2. ຄ່າບໍລິການ ຄໍ້າປະກັນການຈັດຈຳໜ່າຍຫຼັກຊັບ</t>
  </si>
  <si>
    <t>1.1.1.2.2</t>
  </si>
  <si>
    <t xml:space="preserve">   2.3. ຄ່າບໍລິການ ເປັນຕົວແທນຈຳໝ່າຍຫຼັກຊັບ</t>
  </si>
  <si>
    <t>1.1.1.2.3</t>
  </si>
  <si>
    <t>3. ກຳໄລ(ຂາດທຶນ)ຈາກການຊື້ຂາຍຫຼັກຊັບ</t>
  </si>
  <si>
    <t>1.1.1.3</t>
  </si>
  <si>
    <t>4. ດອກເບ້ຍ ແລະ ເງິນປັນຜົນ</t>
  </si>
  <si>
    <t>1.1.1.4</t>
  </si>
  <si>
    <t>1.1.2</t>
  </si>
  <si>
    <t>1.1.2.5</t>
  </si>
  <si>
    <t>ລວມຍອດລາຍຮັບ</t>
  </si>
  <si>
    <t>1.13</t>
  </si>
  <si>
    <t>ລາຍຈ່າຍ</t>
  </si>
  <si>
    <t>1.2.</t>
  </si>
  <si>
    <t>ລາຍຈ່າຍຈາກການດຳເນີນງານ</t>
  </si>
  <si>
    <t>1.2.1</t>
  </si>
  <si>
    <t xml:space="preserve">    1. ລາຍຈ່າຍຄ່ານາຍໜ້າຊື້-ຂາຍຫຼັກຊັບ</t>
  </si>
  <si>
    <t>1.2.1.1.1</t>
  </si>
  <si>
    <t xml:space="preserve">    2. ລາຍຈ່າຍຄ່າໃຫ້ຄຳປຶກສາທາງການເງິນ</t>
  </si>
  <si>
    <t>1.2.1.1.2</t>
  </si>
  <si>
    <t xml:space="preserve">    3. ລາຍຈ່າຍຄ່າໃຫ້ການຄໍ້າປະກັນການຈັດຈຳໜ່າຍຫຼັກຊັບ</t>
  </si>
  <si>
    <t>1.2.1.1.3</t>
  </si>
  <si>
    <t xml:space="preserve">    4. ລາຍຈ່າຍການຄ້າຫຼັກຊັບ</t>
  </si>
  <si>
    <t>1.2.1.1.4</t>
  </si>
  <si>
    <t xml:space="preserve">    5. ລາຍຈ່າຍອື່ນໆທາງດ້ານຫຼັກຊັບ</t>
  </si>
  <si>
    <t>1.2.1.1.5</t>
  </si>
  <si>
    <t>ລາຍຈ່າຍໃນການບໍລິຫານ</t>
  </si>
  <si>
    <t>1.2.2</t>
  </si>
  <si>
    <t xml:space="preserve">    1. ລາຍຈ່າຍກ່ຽວກັບພະນັກງານ</t>
  </si>
  <si>
    <t>1.2.2.2.1</t>
  </si>
  <si>
    <t xml:space="preserve">    2. ຄ່າຫລຸ້ຍຫ້ຽນອາຄານສະຖານທີ່ ແລະ ອຸປະກອນ</t>
  </si>
  <si>
    <t>1.2.2.2.2</t>
  </si>
  <si>
    <t xml:space="preserve">    3. ລາຍຈ່າຍພາສີອາກອນ</t>
  </si>
  <si>
    <t>1.2.2.2.3</t>
  </si>
  <si>
    <t xml:space="preserve">    4. ລາຍຈ່າຍອື່ນໆ</t>
  </si>
  <si>
    <t>1.2.2.2.4</t>
  </si>
  <si>
    <t>ລາຍຈ່າຍດອກເບ້ຍເງິນກູ້ຢືມ</t>
  </si>
  <si>
    <t>1.2.3</t>
  </si>
  <si>
    <t>1.2.3.3.1</t>
  </si>
  <si>
    <t>ລວມຍອດລາຍຈ່າຍ</t>
  </si>
  <si>
    <t>1.2.4</t>
  </si>
  <si>
    <t>ກຳໄລກ່ອນອາກອນ</t>
  </si>
  <si>
    <t>1.2.4.1</t>
  </si>
  <si>
    <t>ອາກອນກຳໄລ</t>
  </si>
  <si>
    <t>1.2.4.2</t>
  </si>
  <si>
    <t>ກຳໄລສຸດທິ</t>
  </si>
  <si>
    <t>1.2.4.3</t>
  </si>
  <si>
    <t>Opening</t>
  </si>
  <si>
    <t>Movement</t>
  </si>
  <si>
    <t>Balance</t>
  </si>
  <si>
    <t>Change</t>
  </si>
  <si>
    <r>
      <t xml:space="preserve">3. ການປ່ຽນແປງ </t>
    </r>
    <r>
      <rPr>
        <sz val="9"/>
        <color rgb="FFFF0000"/>
        <rFont val="Saysettha OT"/>
        <family val="2"/>
      </rPr>
      <t>(ເພີ່ມຂຶ້ນ)</t>
    </r>
    <r>
      <rPr>
        <sz val="9"/>
        <color theme="1"/>
        <rFont val="Saysettha OT"/>
        <family val="2"/>
      </rPr>
      <t xml:space="preserve"> ຫຼື ຫຼຸດລົງ ໃນລາຍການຊັບສິນໝູນວຽນ</t>
    </r>
  </si>
  <si>
    <r>
      <t xml:space="preserve">4. ການປ່ຽນແປງ ເພີ່ມຂຶ້ນ ຫຼື </t>
    </r>
    <r>
      <rPr>
        <sz val="9"/>
        <color rgb="FFFF0000"/>
        <rFont val="Saysettha OT"/>
        <family val="2"/>
      </rPr>
      <t>(ຫຼຸດລົງ)</t>
    </r>
    <r>
      <rPr>
        <sz val="9"/>
        <color theme="1"/>
        <rFont val="Saysettha OT"/>
        <family val="2"/>
      </rPr>
      <t xml:space="preserve"> ໃນລາຍການໜີ້ສິນໝູນວຽນ</t>
    </r>
  </si>
  <si>
    <r>
      <t>3. ສ່ວນ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ໃນລາຍການຊັບສົມບັດຄົງທີ່</t>
    </r>
  </si>
  <si>
    <r>
      <t xml:space="preserve">1. ສ່ວນ 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ໃນລາຍການເງິນລົງທຶນໄລຍະຍາວ</t>
    </r>
  </si>
  <si>
    <r>
      <t xml:space="preserve">2. ສ່ວນ </t>
    </r>
    <r>
      <rPr>
        <sz val="9"/>
        <color rgb="FFFF0000"/>
        <rFont val="Saysettha Unicode"/>
        <family val="2"/>
      </rPr>
      <t>(ເພີ່ມຂຶ້ນ)</t>
    </r>
    <r>
      <rPr>
        <sz val="9"/>
        <color theme="1"/>
        <rFont val="Saysettha Unicode"/>
        <family val="2"/>
      </rPr>
      <t xml:space="preserve"> ຫຼື ຫຼຸດລົງ ໃນລາຍໜີ້ຕ້ອງຮັບໄລຍະຍາວ ແລະ ຊັບສິນໄລຍະຍາວອື່ນໆ</t>
    </r>
  </si>
  <si>
    <r>
      <t>1. ສ່ວນ ເພີ່ມຂຶ້ນ ຫຼື</t>
    </r>
    <r>
      <rPr>
        <sz val="9"/>
        <color rgb="FFFF0000"/>
        <rFont val="Saysettha Unicode"/>
        <family val="2"/>
      </rPr>
      <t xml:space="preserve"> (ຫຼຸດລົງ)</t>
    </r>
    <r>
      <rPr>
        <sz val="9"/>
        <color theme="1"/>
        <rFont val="Saysettha Unicode"/>
        <family val="2"/>
      </rPr>
      <t xml:space="preserve"> ໃນລາຍການເງິນກູ້ຢືມມາ ແລະ ໜີ້ຕ້ອງສົ່ງໄລຍະຍາວອື່ນໆ</t>
    </r>
  </si>
  <si>
    <r>
      <t xml:space="preserve">2. ສ່ວນ ເພີ່ມຂຶ້ນ ຫຼື </t>
    </r>
    <r>
      <rPr>
        <sz val="9"/>
        <color rgb="FFFF0000"/>
        <rFont val="Saysettha Unicode"/>
        <family val="2"/>
      </rPr>
      <t>(ຫຼຸດລົງ)</t>
    </r>
    <r>
      <rPr>
        <sz val="9"/>
        <color theme="1"/>
        <rFont val="Saysettha Unicode"/>
        <family val="2"/>
      </rPr>
      <t xml:space="preserve"> ໃນການອອກຮຸ້ນ</t>
    </r>
  </si>
  <si>
    <t>ok for the formula</t>
  </si>
  <si>
    <t>????????????</t>
  </si>
  <si>
    <t>Cash for 2011</t>
  </si>
  <si>
    <t>Cash for 2012</t>
  </si>
  <si>
    <t xml:space="preserve">Change for the year </t>
  </si>
  <si>
    <t xml:space="preserve">Cash and cash equarvalent for the last year / beginning for the year </t>
  </si>
  <si>
    <t>Logo Company</t>
  </si>
  <si>
    <t xml:space="preserve">BCEL-KT Securities Co.,Ltd </t>
  </si>
  <si>
    <t xml:space="preserve">Tel:                                          , Fax:        </t>
  </si>
  <si>
    <t xml:space="preserve">Cash flow statment
</t>
  </si>
  <si>
    <t>Yearly:...............</t>
  </si>
  <si>
    <t>Unit: 1.000.000 Lak</t>
  </si>
  <si>
    <t>No</t>
  </si>
  <si>
    <t>Descriptions</t>
  </si>
  <si>
    <t>Note</t>
  </si>
  <si>
    <t>Amount</t>
  </si>
  <si>
    <t>This Year</t>
  </si>
  <si>
    <t>Last Year</t>
  </si>
  <si>
    <t>Cash flows from operating activities</t>
  </si>
  <si>
    <t>1. ​Net profit before tax for the period</t>
  </si>
  <si>
    <t>2. Adjustments to reconcile net profit to</t>
  </si>
  <si>
    <t xml:space="preserve"> 2.1.  Depreciation</t>
  </si>
  <si>
    <t xml:space="preserve"> 2.2.  Amortization</t>
  </si>
  <si>
    <t xml:space="preserve"> 2.3.  Loss on Disposal</t>
  </si>
  <si>
    <t xml:space="preserve"> 2.4. Gain on Disposal</t>
  </si>
  <si>
    <t xml:space="preserve"> 2.5. Unrealized (gain) loss on investment</t>
  </si>
  <si>
    <t xml:space="preserve"> 2.6. Unrealized gain(loss) on exchange rate</t>
  </si>
  <si>
    <t>A. Net loss from operating activities before changes in operating assets and liabilities</t>
  </si>
  <si>
    <t>3. Increase/Decrease in operating assets:-</t>
  </si>
  <si>
    <t xml:space="preserve"> 3.1. Deposit with banks and financial institutions</t>
  </si>
  <si>
    <t xml:space="preserve"> 3.2. Shorterm Investement "Investment in securities"</t>
  </si>
  <si>
    <t xml:space="preserve"> 3.3. A/R on business</t>
  </si>
  <si>
    <t xml:space="preserve"> 3.4. A/R Securities on Business </t>
  </si>
  <si>
    <t xml:space="preserve"> 3.5. A/R clearing house</t>
  </si>
  <si>
    <t xml:space="preserve"> 3.6. Other account receivable</t>
  </si>
  <si>
    <t xml:space="preserve"> 3.7. Inventory</t>
  </si>
  <si>
    <t xml:space="preserve"> 3.8. Other current assets </t>
  </si>
  <si>
    <t>B. Net Cash flow statement in operating assets</t>
  </si>
  <si>
    <t>4. Increase/Decrease in operating liabilities:-</t>
  </si>
  <si>
    <t xml:space="preserve"> 4.1. A/P on business</t>
  </si>
  <si>
    <t xml:space="preserve"> 4.2. A/P Securities on Business </t>
  </si>
  <si>
    <t xml:space="preserve">  4.3.  A/R clearing house</t>
  </si>
  <si>
    <t xml:space="preserve">  4.4.  Accrued corporate income tax</t>
  </si>
  <si>
    <t xml:space="preserve">  4.5.  Other liabilities</t>
  </si>
  <si>
    <t xml:space="preserve">  4.6. Subscription payable</t>
  </si>
  <si>
    <t>C. Net Cash flow statement in operating Liabilities</t>
  </si>
  <si>
    <t>Net  Cash flows from operating activities</t>
  </si>
  <si>
    <t>Cash flows from investing activities</t>
  </si>
  <si>
    <t>1. Increase/Decrease on long term investment</t>
  </si>
  <si>
    <t>2. Increase/Decrease A/R and other assets on long term investment</t>
  </si>
  <si>
    <t xml:space="preserve">3. Increase/Decrease of  fix assets </t>
  </si>
  <si>
    <t>Net cash flows used in investing activities</t>
  </si>
  <si>
    <t>Cash flows from financing activities</t>
  </si>
  <si>
    <t>1. Increase/Decrease on loan and other long term liabilities</t>
  </si>
  <si>
    <t>2. Proceeds from issue of ordinary shares</t>
  </si>
  <si>
    <t>3. Proceeds from paid-up of ordinary shares</t>
  </si>
  <si>
    <t>4. Paid  dividend</t>
  </si>
  <si>
    <t>Net cash flow provided by financing activities</t>
  </si>
  <si>
    <t>Cash and cash equivalents</t>
  </si>
  <si>
    <t xml:space="preserve">Net increase in cash and cash equivalents for the year </t>
  </si>
  <si>
    <t>Cash and cash equivalents at beginning of the year</t>
  </si>
  <si>
    <t>Cash and cash equivalents at end of the year</t>
  </si>
  <si>
    <t>ວັນທີ ..    ../…    ./2013</t>
  </si>
  <si>
    <t>Vientiane, Date:        /        /2013</t>
  </si>
  <si>
    <t xml:space="preserve">     ຜູ້ອຳນວຍການ                                  ທີ່ປຶກສາບັນຊີ                                  ຫົວໜ້າພະແນກບັນຊີ                                  ຜູ້ສັງລວມ</t>
  </si>
  <si>
    <t xml:space="preserve">                    General Manager                                               Consultant                                                 Chief of account</t>
  </si>
  <si>
    <t>Accounting:</t>
  </si>
  <si>
    <t>What account  No     ???????</t>
  </si>
  <si>
    <t xml:space="preserve">None </t>
  </si>
  <si>
    <t>ກ=3(Item    3.1 to Item 3.8)</t>
  </si>
  <si>
    <r>
      <t>ບ/ຊ 1361+1362+138+1138+</t>
    </r>
    <r>
      <rPr>
        <sz val="9"/>
        <color rgb="FFFF0000"/>
        <rFont val="Saysettha Unicode"/>
        <family val="2"/>
      </rPr>
      <t>1360000</t>
    </r>
  </si>
  <si>
    <r>
      <t xml:space="preserve">ປະຈຳປີ:  </t>
    </r>
    <r>
      <rPr>
        <b/>
        <sz val="10"/>
        <color rgb="FFFF0000"/>
        <rFont val="Saysettha Unicode"/>
        <family val="2"/>
      </rPr>
      <t>2012</t>
    </r>
  </si>
  <si>
    <t>OK</t>
  </si>
  <si>
    <t>Note for A/C</t>
  </si>
  <si>
    <t>1302216+1302218</t>
  </si>
  <si>
    <t>1121+1131</t>
  </si>
  <si>
    <t>1+2</t>
  </si>
  <si>
    <t>1137111+1301720</t>
  </si>
  <si>
    <t>1138100+1138810+1138830+1360000+1361100+1361300+1361500+1362100+1388110+1388120+1388170+1388180</t>
  </si>
  <si>
    <r>
      <t xml:space="preserve"> 3.8. ຊັບສິນໝູນວຽນອື່ນໆ                                                                                                                 </t>
    </r>
    <r>
      <rPr>
        <sz val="9"/>
        <color rgb="FF0000CC"/>
        <rFont val="Saysettha Unicode"/>
        <family val="2"/>
      </rPr>
      <t xml:space="preserve">  </t>
    </r>
  </si>
  <si>
    <t>2344100+2344200+2344600+2344700</t>
  </si>
  <si>
    <t>2361120+2361130+2361140+2361410+2361420+2361430+2361440+2361830+2361831</t>
  </si>
  <si>
    <t>2363682+2363683+2363684</t>
  </si>
  <si>
    <t>1441810+1442400+1442510+1442610+1442710+1442720</t>
  </si>
  <si>
    <t xml:space="preserve">TB for Quarter </t>
  </si>
  <si>
    <t xml:space="preserve">Openning </t>
  </si>
  <si>
    <t>3908000</t>
  </si>
  <si>
    <t>ຜົນໄດ້ຮັບ ລໍຖ້າຮັບຮອງ</t>
  </si>
  <si>
    <t>4406400</t>
  </si>
  <si>
    <t>ປື້ມຕຳລາວິຊາການຕ່າງໆ</t>
  </si>
  <si>
    <t xml:space="preserve">Total </t>
  </si>
  <si>
    <t>Net profit</t>
  </si>
  <si>
    <t>4506…</t>
  </si>
  <si>
    <t>ໃບດູນດ່ຽງປະຈຳເດືອນ</t>
  </si>
  <si>
    <t>ເດືອນ 01/2013</t>
  </si>
  <si>
    <t>ເດືອນ 02/2013</t>
  </si>
  <si>
    <t>ເດືອນ 03/2013</t>
  </si>
  <si>
    <t>Total</t>
  </si>
  <si>
    <t xml:space="preserve">Net Profit </t>
  </si>
  <si>
    <t xml:space="preserve">Net profit </t>
  </si>
  <si>
    <t>ok</t>
  </si>
  <si>
    <t xml:space="preserve">Diff for check </t>
  </si>
  <si>
    <t>ເດືອນ 06/2013</t>
  </si>
  <si>
    <t>1131163</t>
  </si>
  <si>
    <t>ບັນຊີເງິນຝາກມີກຳນົດທີ່ ທະນາຄານ ເອຊີລີດາ-1</t>
  </si>
  <si>
    <t>3202000</t>
  </si>
  <si>
    <t>ຄັງສຳຮອງຕາມກົດໝາຍ</t>
  </si>
  <si>
    <t xml:space="preserve">Diff ( P/L ) </t>
  </si>
  <si>
    <t xml:space="preserve">Gain for June'13 </t>
  </si>
  <si>
    <t>4408410</t>
  </si>
  <si>
    <t>ຄ່າບຳລຸງຮັກສາ ແລະສ້ອມແປງອາຄານ</t>
  </si>
  <si>
    <t xml:space="preserve">P&amp;L </t>
  </si>
  <si>
    <t>For June 2013</t>
  </si>
  <si>
    <t>For Six months</t>
  </si>
  <si>
    <t>For Jan to May'13</t>
  </si>
  <si>
    <t>Cr-Dr " Movement of 4-5 "+ A/C: 39</t>
  </si>
  <si>
    <t>3108210+3202000+3810000+3901000+3908000</t>
  </si>
  <si>
    <t>Ok" Correct "</t>
  </si>
  <si>
    <t>ໃບດູນດ່ຽງປະຈຳປີ</t>
  </si>
  <si>
    <t>ໃນປີ 2013</t>
  </si>
  <si>
    <t>1131122</t>
  </si>
  <si>
    <t>ບັນຊີກະແສລາຍວັນ ທຄຕລ-ກທ ສຳລັບຈອງ IPO Laos World 010-19-00-00825318001 ( LAK )</t>
  </si>
  <si>
    <t>1131123</t>
  </si>
  <si>
    <t>ບັນຊີກະແສລາຍວັນ ທຄຕລ-ກທ ສຳລັບຈອງ IPO Laos World 010-19-01-00825318001 ( USD )</t>
  </si>
  <si>
    <t>1131132</t>
  </si>
  <si>
    <t>ບັນຊີຝາກປະຢັດທີ່ ທຄຕລ ສາຂາ ສະຫວັນນະເຂດ 030-12-00-00645133001</t>
  </si>
  <si>
    <t>1131133</t>
  </si>
  <si>
    <t>ບັນຊີຝາກປະຢັດທີ່ ທຄຕລ ສາຂາຫຼວງພະບາງ 050-12-00-00652818001</t>
  </si>
  <si>
    <t>1131138</t>
  </si>
  <si>
    <t>ບັນຊີຝາກປະຢັດທີ່ທະນາຄານ ເອັສທີ 010.3.12.00.04771</t>
  </si>
  <si>
    <t>1131150</t>
  </si>
  <si>
    <t>ບັນຊີຝາກມີກຳນົດທີ່ ທຄຕລ:010.27.00000.80192001</t>
  </si>
  <si>
    <t>1388810</t>
  </si>
  <si>
    <t>ບັນຊີພັກອື່ນໆທາງດ້ານຫຼັກຊັບ</t>
  </si>
  <si>
    <t>2346000</t>
  </si>
  <si>
    <t>ບັນຊີຊຳລະສະສາງອື່ນໆກ່ຽວກັບຫຼັກຊັບ</t>
  </si>
  <si>
    <t>4403440</t>
  </si>
  <si>
    <t>ຄ່າໃຊ້ຈ່າຍອື່ນໆສຳລັບການບໍລິຫານ ແລະການຈັດການ</t>
  </si>
  <si>
    <t>4408420</t>
  </si>
  <si>
    <t>ຄ່າບຳລຸງຮັກສາ ແລະສ້ອມອຸປະກອນຄອມພີວເຕີ່</t>
  </si>
  <si>
    <t>Dec'13</t>
  </si>
  <si>
    <t>Jan'13</t>
  </si>
  <si>
    <t>Feb'13</t>
  </si>
  <si>
    <t>Mar'13</t>
  </si>
  <si>
    <t>June'13</t>
  </si>
  <si>
    <t>Movement for the year 2013</t>
  </si>
  <si>
    <t>Check Diff</t>
  </si>
  <si>
    <t>Sum amount</t>
  </si>
  <si>
    <t xml:space="preserve">Total Expense + Income </t>
  </si>
  <si>
    <t>Net Prfit for the year end 31.12.2013</t>
  </si>
  <si>
    <t>ໃບລາຍງານສ່ວນປ່ຽນແປງທຶນ</t>
  </si>
  <si>
    <r>
      <t>ປະຈຳເດືອນ: 12</t>
    </r>
    <r>
      <rPr>
        <b/>
        <sz val="16"/>
        <color indexed="10"/>
        <rFont val="Arial"/>
        <family val="2"/>
      </rPr>
      <t>/2013</t>
    </r>
  </si>
  <si>
    <t xml:space="preserve">ບັນຊີ 3202000 ຂອງ ປີ N-2 </t>
  </si>
  <si>
    <t>ທຶນຈົດທະບຽນ</t>
  </si>
  <si>
    <t>ຄັງສະສົມ
ທົ່ວໄປ</t>
  </si>
  <si>
    <t>ກຳໄລ-ຂາດ
ທຶນສະສົມ</t>
  </si>
  <si>
    <t>ລວມທຶນ
ຕົນເອງ</t>
  </si>
  <si>
    <t xml:space="preserve">  1.- ຍອດເຫຼືອຕົ້ນປີ N-1 ( ປີກ່ອນ )</t>
  </si>
  <si>
    <t xml:space="preserve">   # ການເຄື່ອນໄຫວປ່ຽນແປງທີ່ເກີດຂື້ນ ໃນປີ N-1 :</t>
  </si>
  <si>
    <t xml:space="preserve">    - ຈ່າຍເງິນປັນຜົນສຳຫຼັບ ປີ N-2</t>
  </si>
  <si>
    <t xml:space="preserve">    - ໂອນກຳໄລສຸດທິ ປີ N-2 ເຂົ້າຄັງສຳຮອງຕາມກົດໝາຍ</t>
  </si>
  <si>
    <t xml:space="preserve">    - ໂອນກຳໄລສຸດທິ ປີ N-2 ເຂົ້າຄັງທົ່ວໄປ</t>
  </si>
  <si>
    <t>xxx</t>
  </si>
  <si>
    <t xml:space="preserve">    - ທຶນຈົດທະບຽນ ທີ່ໄດ້ຮັບ</t>
  </si>
  <si>
    <t xml:space="preserve">    - ກຳໄລ/ຂາດທຶນໃນປີ</t>
  </si>
  <si>
    <t>ບັນຊີ 3908000</t>
  </si>
  <si>
    <t xml:space="preserve">  2.- ຍອດເຫຼືອທ້າຍປີ N-1</t>
  </si>
  <si>
    <t xml:space="preserve">  3.- ຍອດເຫຼືອຕົ້ນປີ N - ( ປີນີ້ )</t>
  </si>
  <si>
    <t xml:space="preserve">    - ຍອດຍົກມາຈາກທ້າຍປີ N-1 ( ປີກ່ອນ )</t>
  </si>
  <si>
    <t xml:space="preserve">    - ຜົນກະທົບຈາກອັດຕາແລກປ່ຽນເງິນຕາຕ່າງປະເທດ</t>
  </si>
  <si>
    <t xml:space="preserve">    ຍອດເຫຼືອຕົ້ນປີ N ຫຼັງການດັດປັບອັດຕາແລກປ່ຽນ</t>
  </si>
  <si>
    <t xml:space="preserve">    ການເຄື່ອນໄຫວປ່ຽນແປງທີ່ເກີດຂຶ້ນໃນປີ N :</t>
  </si>
  <si>
    <t xml:space="preserve">    - ຈ່າຍເງິນປັນຜົນສຳຫຼັບປີ N-1</t>
  </si>
  <si>
    <t xml:space="preserve">    - ໂອນກຳໄລສຸດທິເຂົ້າຄັງສຳຮອງຕາມກົດໝາຍ</t>
  </si>
  <si>
    <t>ບັນຊີ 3202000 ຂອງ ປີ N-1</t>
  </si>
  <si>
    <t xml:space="preserve">    - ໂອນກຳໄລສຸດທິເຂົ້າຄັງສຳຮອງທົ່ວໄປ</t>
  </si>
  <si>
    <t xml:space="preserve">    - ທຶນຈົດທະບຽນທີ່ໄດ້ຮັບ</t>
  </si>
  <si>
    <t xml:space="preserve">ບັນຊີ 5-4 ( ຮັບ-ຈ່າຍ) ຫຼື ບັນຊີ 3901000, ແຕ່ບັນຊີ 3901000 ຈະເກີດຂື້ນໃນເວລາທ້າຍປີ ( ສະເໜີເອົາ 5-4 ເດີ ) </t>
  </si>
  <si>
    <t xml:space="preserve">  4.- ຍອດເຫຼືອທ້າຍປີ N ( ປີນີ້ )</t>
  </si>
  <si>
    <t>ນະຄອນຫຼວງວຽງຈັນ ວັນທີ : …../….../......... ,</t>
  </si>
  <si>
    <t>ຫົວໜ້າພະແນກກວດກາ</t>
  </si>
  <si>
    <t>ຫົວໜ້າພະແນກບັນຊີ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</si>
</sst>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_-* #,##0.00_-;\-* #,##0.00_-;_-* &quot;-&quot;??_-;_-@_-"/>
    <numFmt numFmtId="165" formatCode="d/m/yy;@"/>
    <numFmt numFmtId="166" formatCode="#,###"/>
    <numFmt numFmtId="167" formatCode="_(* #,##0_);_(* \(#,##0\);_(* &quot;-&quot;??_);_(@_)"/>
    <numFmt numFmtId="168" formatCode="#,##0.00;[Red]\(#,##0.00\)"/>
    <numFmt numFmtId="169" formatCode="#,###.00"/>
    <numFmt numFmtId="170" formatCode="#,##0.0000000;[Red]#,##0.0000000"/>
    <numFmt numFmtId="171" formatCode="\-#,##0.00;[Red]\(#,##0.00\)"/>
  </numFmts>
  <fonts count="4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Saysettha Unicode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sz val="11"/>
      <color theme="1"/>
      <name val="Saysettha Unicode"/>
      <family val="2"/>
    </font>
    <font>
      <b/>
      <sz val="9"/>
      <color theme="1"/>
      <name val="Saysettha Unicode"/>
      <family val="2"/>
    </font>
    <font>
      <b/>
      <u/>
      <sz val="10"/>
      <color theme="1"/>
      <name val="Saysettha Unicode"/>
      <family val="2"/>
    </font>
    <font>
      <sz val="9"/>
      <color indexed="8"/>
      <name val="Saysettha Unicode"/>
      <family val="2"/>
    </font>
    <font>
      <b/>
      <sz val="9"/>
      <name val="Saysettha Unicode"/>
      <family val="2"/>
    </font>
    <font>
      <u/>
      <sz val="10"/>
      <color theme="1"/>
      <name val="Saysettha Unicode"/>
      <family val="2"/>
    </font>
    <font>
      <sz val="9"/>
      <color theme="1"/>
      <name val="Saysettha OT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9"/>
      <color rgb="FFFF0000"/>
      <name val="Saysettha OT"/>
      <family val="2"/>
    </font>
    <font>
      <sz val="9"/>
      <color rgb="FFFF0000"/>
      <name val="Saysettha Unicode"/>
      <family val="2"/>
    </font>
    <font>
      <sz val="10"/>
      <color rgb="FFFF0000"/>
      <name val="Saysettha Unicode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color theme="1"/>
      <name val="Saysettha Lao"/>
      <family val="2"/>
      <charset val="222"/>
    </font>
    <font>
      <b/>
      <sz val="8"/>
      <color theme="1"/>
      <name val="Saysettha Lao"/>
      <family val="2"/>
      <charset val="22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rgb="FF0000FF"/>
      <name val="Saysettha Unicode"/>
      <family val="2"/>
    </font>
    <font>
      <sz val="9"/>
      <color rgb="FF0000CC"/>
      <name val="Saysettha Unicode"/>
      <family val="2"/>
    </font>
    <font>
      <b/>
      <sz val="10"/>
      <color rgb="FFFF0000"/>
      <name val="Saysettha Unicode"/>
      <family val="2"/>
    </font>
    <font>
      <sz val="10"/>
      <color rgb="FF3333FF"/>
      <name val="Saysettha Unicode"/>
      <family val="2"/>
    </font>
    <font>
      <b/>
      <u/>
      <sz val="10"/>
      <color rgb="FF3333FF"/>
      <name val="Saysettha Unicode"/>
      <family val="2"/>
    </font>
    <font>
      <b/>
      <sz val="10"/>
      <color rgb="FF3333FF"/>
      <name val="Saysettha Unicode"/>
      <family val="2"/>
    </font>
    <font>
      <sz val="10"/>
      <color rgb="FF3333FF"/>
      <name val="Arial"/>
      <family val="2"/>
    </font>
    <font>
      <sz val="6"/>
      <color indexed="8"/>
      <name val="Arial"/>
      <family val="2"/>
    </font>
    <font>
      <sz val="7"/>
      <color rgb="FFFF0000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0"/>
      <color theme="5" tint="-0.249977111117893"/>
      <name val="Arial"/>
      <family val="2"/>
    </font>
    <font>
      <sz val="12"/>
      <color theme="5" tint="-0.249977111117893"/>
      <name val="Calibri"/>
      <family val="2"/>
      <scheme val="minor"/>
    </font>
    <font>
      <b/>
      <sz val="10"/>
      <color rgb="FF3333FF"/>
      <name val="ARIAL"/>
      <family val="2"/>
    </font>
    <font>
      <b/>
      <sz val="12"/>
      <color rgb="FF3333FF"/>
      <name val="Calibri"/>
      <family val="2"/>
      <scheme val="minor"/>
    </font>
    <font>
      <sz val="9"/>
      <name val="Saysettha Unicode"/>
      <family val="2"/>
    </font>
    <font>
      <b/>
      <sz val="10"/>
      <color rgb="FF007E39"/>
      <name val="Saysettha Unicode"/>
      <family val="2"/>
    </font>
    <font>
      <b/>
      <sz val="20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61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/>
    <xf numFmtId="0" fontId="8" fillId="0" borderId="0" xfId="0" applyFont="1" applyFill="1" applyBorder="1"/>
    <xf numFmtId="0" fontId="7" fillId="0" borderId="6" xfId="0" applyFont="1" applyFill="1" applyBorder="1" applyAlignment="1">
      <alignment horizontal="center"/>
    </xf>
    <xf numFmtId="0" fontId="3" fillId="0" borderId="7" xfId="0" applyFont="1" applyFill="1" applyBorder="1" applyAlignment="1"/>
    <xf numFmtId="0" fontId="7" fillId="0" borderId="7" xfId="0" applyFont="1" applyFill="1" applyBorder="1"/>
    <xf numFmtId="0" fontId="3" fillId="0" borderId="7" xfId="0" applyFont="1" applyFill="1" applyBorder="1"/>
    <xf numFmtId="0" fontId="7" fillId="0" borderId="7" xfId="0" applyFont="1" applyFill="1" applyBorder="1" applyAlignment="1"/>
    <xf numFmtId="43" fontId="3" fillId="0" borderId="9" xfId="1" applyFont="1" applyFill="1" applyBorder="1"/>
    <xf numFmtId="0" fontId="7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left" vertical="top" wrapText="1"/>
    </xf>
    <xf numFmtId="0" fontId="12" fillId="0" borderId="7" xfId="0" applyFont="1" applyFill="1" applyBorder="1"/>
    <xf numFmtId="4" fontId="4" fillId="0" borderId="0" xfId="0" applyNumberFormat="1" applyFont="1" applyFill="1" applyBorder="1"/>
    <xf numFmtId="49" fontId="3" fillId="0" borderId="4" xfId="1" applyNumberFormat="1" applyFont="1" applyFill="1" applyBorder="1" applyAlignment="1">
      <alignment horizontal="left"/>
    </xf>
    <xf numFmtId="49" fontId="3" fillId="0" borderId="7" xfId="1" applyNumberFormat="1" applyFont="1" applyFill="1" applyBorder="1" applyAlignment="1">
      <alignment horizontal="left"/>
    </xf>
    <xf numFmtId="49" fontId="7" fillId="0" borderId="7" xfId="1" applyNumberFormat="1" applyFont="1" applyFill="1" applyBorder="1" applyAlignment="1">
      <alignment horizontal="left"/>
    </xf>
    <xf numFmtId="49" fontId="7" fillId="0" borderId="1" xfId="1" applyNumberFormat="1" applyFont="1" applyFill="1" applyBorder="1" applyAlignment="1">
      <alignment horizontal="left"/>
    </xf>
    <xf numFmtId="49" fontId="3" fillId="0" borderId="9" xfId="1" applyNumberFormat="1" applyFont="1" applyFill="1" applyBorder="1" applyAlignment="1">
      <alignment horizontal="left"/>
    </xf>
    <xf numFmtId="49" fontId="3" fillId="0" borderId="0" xfId="1" applyNumberFormat="1" applyFont="1" applyFill="1" applyBorder="1" applyAlignment="1"/>
    <xf numFmtId="43" fontId="3" fillId="0" borderId="7" xfId="1" applyFont="1" applyFill="1" applyBorder="1" applyAlignment="1">
      <alignment horizontal="left"/>
    </xf>
    <xf numFmtId="43" fontId="4" fillId="0" borderId="0" xfId="1" applyFont="1" applyFill="1" applyBorder="1" applyAlignment="1">
      <alignment horizontal="left"/>
    </xf>
    <xf numFmtId="43" fontId="7" fillId="0" borderId="7" xfId="1" applyFont="1" applyFill="1" applyBorder="1" applyAlignment="1">
      <alignment horizontal="left"/>
    </xf>
    <xf numFmtId="43" fontId="7" fillId="0" borderId="1" xfId="1" applyFont="1" applyFill="1" applyBorder="1" applyAlignment="1">
      <alignment horizontal="left"/>
    </xf>
    <xf numFmtId="43" fontId="5" fillId="0" borderId="0" xfId="1" applyFont="1" applyFill="1" applyBorder="1" applyAlignment="1">
      <alignment horizontal="left"/>
    </xf>
    <xf numFmtId="0" fontId="4" fillId="0" borderId="0" xfId="0" applyFont="1" applyFill="1" applyBorder="1" applyAlignment="1">
      <alignment vertical="top" wrapText="1"/>
    </xf>
    <xf numFmtId="43" fontId="3" fillId="0" borderId="8" xfId="1" applyFont="1" applyFill="1" applyBorder="1" applyAlignment="1">
      <alignment horizontal="left"/>
    </xf>
    <xf numFmtId="0" fontId="3" fillId="0" borderId="12" xfId="0" applyFont="1" applyFill="1" applyBorder="1"/>
    <xf numFmtId="43" fontId="7" fillId="0" borderId="12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0" fontId="3" fillId="0" borderId="6" xfId="0" applyFont="1" applyFill="1" applyBorder="1" applyAlignment="1">
      <alignment horizontal="center"/>
    </xf>
    <xf numFmtId="43" fontId="3" fillId="0" borderId="12" xfId="1" applyFont="1" applyFill="1" applyBorder="1" applyAlignment="1">
      <alignment horizontal="left"/>
    </xf>
    <xf numFmtId="43" fontId="7" fillId="0" borderId="1" xfId="1" applyFont="1" applyFill="1" applyBorder="1" applyAlignment="1">
      <alignment horizontal="center" vertical="top" wrapText="1"/>
    </xf>
    <xf numFmtId="0" fontId="3" fillId="0" borderId="12" xfId="0" applyFont="1" applyFill="1" applyBorder="1" applyAlignment="1"/>
    <xf numFmtId="0" fontId="7" fillId="0" borderId="12" xfId="0" applyFont="1" applyFill="1" applyBorder="1" applyAlignment="1"/>
    <xf numFmtId="43" fontId="4" fillId="0" borderId="8" xfId="1" applyFont="1" applyFill="1" applyBorder="1" applyAlignment="1">
      <alignment horizontal="left"/>
    </xf>
    <xf numFmtId="49" fontId="4" fillId="0" borderId="0" xfId="0" applyNumberFormat="1" applyFont="1" applyFill="1" applyBorder="1"/>
    <xf numFmtId="49" fontId="7" fillId="0" borderId="2" xfId="0" applyNumberFormat="1" applyFont="1" applyFill="1" applyBorder="1" applyAlignment="1">
      <alignment horizontal="center" vertical="top" wrapText="1"/>
    </xf>
    <xf numFmtId="49" fontId="7" fillId="0" borderId="4" xfId="0" applyNumberFormat="1" applyFont="1" applyFill="1" applyBorder="1" applyAlignment="1"/>
    <xf numFmtId="49" fontId="3" fillId="0" borderId="7" xfId="0" applyNumberFormat="1" applyFont="1" applyFill="1" applyBorder="1" applyAlignment="1"/>
    <xf numFmtId="49" fontId="3" fillId="0" borderId="7" xfId="0" applyNumberFormat="1" applyFont="1" applyFill="1" applyBorder="1"/>
    <xf numFmtId="49" fontId="12" fillId="0" borderId="7" xfId="0" applyNumberFormat="1" applyFont="1" applyFill="1" applyBorder="1"/>
    <xf numFmtId="49" fontId="7" fillId="0" borderId="7" xfId="0" applyNumberFormat="1" applyFont="1" applyFill="1" applyBorder="1" applyAlignment="1"/>
    <xf numFmtId="49" fontId="7" fillId="0" borderId="7" xfId="0" applyNumberFormat="1" applyFont="1" applyFill="1" applyBorder="1"/>
    <xf numFmtId="49" fontId="7" fillId="0" borderId="12" xfId="0" applyNumberFormat="1" applyFont="1" applyFill="1" applyBorder="1" applyAlignment="1"/>
    <xf numFmtId="49" fontId="3" fillId="0" borderId="12" xfId="0" applyNumberFormat="1" applyFont="1" applyFill="1" applyBorder="1" applyAlignment="1"/>
    <xf numFmtId="49" fontId="9" fillId="0" borderId="9" xfId="0" applyNumberFormat="1" applyFont="1" applyFill="1" applyBorder="1" applyAlignment="1"/>
    <xf numFmtId="49" fontId="10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49" fontId="3" fillId="0" borderId="9" xfId="0" applyNumberFormat="1" applyFont="1" applyFill="1" applyBorder="1" applyAlignment="1">
      <alignment horizontal="left" vertical="top" wrapText="1"/>
    </xf>
    <xf numFmtId="43" fontId="3" fillId="0" borderId="10" xfId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center"/>
    </xf>
    <xf numFmtId="49" fontId="3" fillId="0" borderId="7" xfId="1" applyNumberFormat="1" applyFont="1" applyFill="1" applyBorder="1" applyAlignment="1">
      <alignment horizontal="center"/>
    </xf>
    <xf numFmtId="49" fontId="7" fillId="0" borderId="7" xfId="1" applyNumberFormat="1" applyFont="1" applyFill="1" applyBorder="1" applyAlignment="1">
      <alignment horizontal="center"/>
    </xf>
    <xf numFmtId="49" fontId="3" fillId="0" borderId="8" xfId="1" applyNumberFormat="1" applyFont="1" applyFill="1" applyBorder="1" applyAlignment="1">
      <alignment horizontal="center"/>
    </xf>
    <xf numFmtId="49" fontId="3" fillId="0" borderId="6" xfId="1" applyNumberFormat="1" applyFont="1" applyFill="1" applyBorder="1" applyAlignment="1">
      <alignment horizontal="center"/>
    </xf>
    <xf numFmtId="49" fontId="4" fillId="0" borderId="6" xfId="1" applyNumberFormat="1" applyFont="1" applyFill="1" applyBorder="1" applyAlignment="1">
      <alignment horizontal="center" vertical="top"/>
    </xf>
    <xf numFmtId="49" fontId="3" fillId="0" borderId="9" xfId="1" applyNumberFormat="1" applyFont="1" applyFill="1" applyBorder="1" applyAlignment="1">
      <alignment horizontal="center"/>
    </xf>
    <xf numFmtId="49" fontId="7" fillId="0" borderId="1" xfId="1" applyNumberFormat="1" applyFont="1" applyFill="1" applyBorder="1" applyAlignment="1">
      <alignment horizontal="center"/>
    </xf>
    <xf numFmtId="49" fontId="4" fillId="0" borderId="8" xfId="1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top" wrapText="1"/>
    </xf>
    <xf numFmtId="49" fontId="3" fillId="0" borderId="10" xfId="1" applyNumberFormat="1" applyFont="1" applyFill="1" applyBorder="1" applyAlignment="1">
      <alignment horizontal="center"/>
    </xf>
    <xf numFmtId="49" fontId="5" fillId="0" borderId="0" xfId="1" applyNumberFormat="1" applyFont="1" applyFill="1" applyBorder="1" applyAlignment="1">
      <alignment horizontal="center"/>
    </xf>
    <xf numFmtId="49" fontId="7" fillId="0" borderId="15" xfId="0" applyNumberFormat="1" applyFont="1" applyFill="1" applyBorder="1" applyAlignment="1">
      <alignment horizontal="center" vertical="top" wrapText="1"/>
    </xf>
    <xf numFmtId="49" fontId="7" fillId="0" borderId="16" xfId="1" applyNumberFormat="1" applyFont="1" applyFill="1" applyBorder="1" applyAlignment="1">
      <alignment horizontal="center" vertical="top" wrapText="1"/>
    </xf>
    <xf numFmtId="49" fontId="3" fillId="0" borderId="5" xfId="1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49" fontId="9" fillId="0" borderId="3" xfId="0" applyNumberFormat="1" applyFont="1" applyFill="1" applyBorder="1" applyAlignment="1"/>
    <xf numFmtId="49" fontId="4" fillId="0" borderId="6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left"/>
    </xf>
    <xf numFmtId="49" fontId="7" fillId="0" borderId="16" xfId="0" applyNumberFormat="1" applyFont="1" applyFill="1" applyBorder="1" applyAlignment="1">
      <alignment vertical="top" wrapText="1"/>
    </xf>
    <xf numFmtId="49" fontId="7" fillId="0" borderId="1" xfId="1" applyNumberFormat="1" applyFont="1" applyFill="1" applyBorder="1" applyAlignment="1">
      <alignment horizontal="center" vertical="top" wrapText="1"/>
    </xf>
    <xf numFmtId="49" fontId="4" fillId="0" borderId="6" xfId="1" applyNumberFormat="1" applyFont="1" applyFill="1" applyBorder="1" applyAlignment="1">
      <alignment horizontal="left"/>
    </xf>
    <xf numFmtId="49" fontId="3" fillId="0" borderId="8" xfId="1" applyNumberFormat="1" applyFont="1" applyFill="1" applyBorder="1" applyAlignment="1">
      <alignment horizontal="left"/>
    </xf>
    <xf numFmtId="49" fontId="7" fillId="0" borderId="6" xfId="1" applyNumberFormat="1" applyFont="1" applyFill="1" applyBorder="1" applyAlignment="1">
      <alignment horizontal="left"/>
    </xf>
    <xf numFmtId="49" fontId="5" fillId="0" borderId="0" xfId="1" applyNumberFormat="1" applyFont="1" applyFill="1" applyBorder="1" applyAlignment="1">
      <alignment horizontal="left"/>
    </xf>
    <xf numFmtId="0" fontId="5" fillId="0" borderId="0" xfId="0" applyFont="1" applyFill="1" applyBorder="1"/>
    <xf numFmtId="43" fontId="7" fillId="0" borderId="4" xfId="1" applyFont="1" applyFill="1" applyBorder="1" applyAlignment="1">
      <alignment horizontal="left"/>
    </xf>
    <xf numFmtId="0" fontId="7" fillId="0" borderId="8" xfId="0" applyFont="1" applyFill="1" applyBorder="1" applyAlignment="1">
      <alignment horizontal="left" vertical="top" wrapText="1"/>
    </xf>
    <xf numFmtId="0" fontId="7" fillId="0" borderId="12" xfId="0" applyFont="1" applyFill="1" applyBorder="1"/>
    <xf numFmtId="43" fontId="7" fillId="0" borderId="9" xfId="1" applyFont="1" applyFill="1" applyBorder="1" applyAlignment="1">
      <alignment horizontal="left"/>
    </xf>
    <xf numFmtId="0" fontId="7" fillId="0" borderId="9" xfId="0" applyFont="1" applyFill="1" applyBorder="1" applyAlignment="1">
      <alignment horizontal="left" vertical="top" wrapText="1"/>
    </xf>
    <xf numFmtId="43" fontId="7" fillId="0" borderId="8" xfId="1" applyFont="1" applyFill="1" applyBorder="1" applyAlignment="1">
      <alignment horizontal="left"/>
    </xf>
    <xf numFmtId="0" fontId="7" fillId="0" borderId="8" xfId="0" applyFont="1" applyFill="1" applyBorder="1" applyAlignment="1"/>
    <xf numFmtId="0" fontId="7" fillId="0" borderId="9" xfId="0" applyFont="1" applyFill="1" applyBorder="1"/>
    <xf numFmtId="0" fontId="7" fillId="0" borderId="1" xfId="0" applyFont="1" applyFill="1" applyBorder="1" applyAlignment="1"/>
    <xf numFmtId="0" fontId="3" fillId="0" borderId="8" xfId="0" applyFont="1" applyFill="1" applyBorder="1" applyAlignment="1"/>
    <xf numFmtId="0" fontId="7" fillId="0" borderId="18" xfId="0" applyFont="1" applyFill="1" applyBorder="1" applyAlignment="1"/>
    <xf numFmtId="0" fontId="3" fillId="0" borderId="19" xfId="0" applyFont="1" applyFill="1" applyBorder="1" applyAlignment="1"/>
    <xf numFmtId="0" fontId="7" fillId="0" borderId="13" xfId="0" applyFont="1" applyFill="1" applyBorder="1" applyAlignment="1"/>
    <xf numFmtId="43" fontId="7" fillId="0" borderId="13" xfId="1" applyFont="1" applyFill="1" applyBorder="1" applyAlignment="1">
      <alignment horizontal="left"/>
    </xf>
    <xf numFmtId="43" fontId="7" fillId="0" borderId="10" xfId="1" applyFont="1" applyFill="1" applyBorder="1" applyAlignment="1">
      <alignment horizontal="left"/>
    </xf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3" fontId="13" fillId="0" borderId="0" xfId="0" applyNumberFormat="1" applyFont="1" applyAlignment="1">
      <alignment vertical="top"/>
    </xf>
    <xf numFmtId="4" fontId="14" fillId="0" borderId="0" xfId="0" applyNumberFormat="1" applyFont="1" applyAlignment="1">
      <alignment vertical="top"/>
    </xf>
    <xf numFmtId="4" fontId="13" fillId="0" borderId="0" xfId="0" applyNumberFormat="1" applyFont="1" applyAlignment="1">
      <alignment vertical="top"/>
    </xf>
    <xf numFmtId="3" fontId="13" fillId="2" borderId="0" xfId="0" applyNumberFormat="1" applyFont="1" applyFill="1" applyAlignment="1">
      <alignment vertical="top"/>
    </xf>
    <xf numFmtId="0" fontId="13" fillId="2" borderId="0" xfId="0" applyFont="1" applyFill="1" applyAlignment="1">
      <alignment vertical="top"/>
    </xf>
    <xf numFmtId="4" fontId="15" fillId="2" borderId="0" xfId="0" applyNumberFormat="1" applyFont="1" applyFill="1" applyAlignment="1">
      <alignment vertical="top"/>
    </xf>
    <xf numFmtId="4" fontId="13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  <xf numFmtId="166" fontId="13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15" fillId="3" borderId="0" xfId="0" applyNumberFormat="1" applyFont="1" applyFill="1" applyAlignment="1">
      <alignment vertical="top"/>
    </xf>
    <xf numFmtId="167" fontId="0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167" fontId="1" fillId="0" borderId="0" xfId="1" applyNumberFormat="1" applyFont="1" applyAlignment="1">
      <alignment vertical="top"/>
    </xf>
    <xf numFmtId="167" fontId="17" fillId="0" borderId="0" xfId="1" applyNumberFormat="1" applyFont="1" applyAlignment="1">
      <alignment vertical="top"/>
    </xf>
    <xf numFmtId="167" fontId="13" fillId="0" borderId="1" xfId="1" applyNumberFormat="1" applyFont="1" applyBorder="1" applyAlignment="1">
      <alignment vertical="top"/>
    </xf>
    <xf numFmtId="167" fontId="17" fillId="0" borderId="1" xfId="1" applyNumberFormat="1" applyFont="1" applyBorder="1" applyAlignment="1">
      <alignment vertical="top"/>
    </xf>
    <xf numFmtId="167" fontId="13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vertical="top"/>
    </xf>
    <xf numFmtId="167" fontId="13" fillId="0" borderId="6" xfId="1" applyNumberFormat="1" applyFont="1" applyBorder="1" applyAlignment="1">
      <alignment vertical="top"/>
    </xf>
    <xf numFmtId="167" fontId="1" fillId="0" borderId="6" xfId="1" applyNumberFormat="1" applyFont="1" applyBorder="1" applyAlignment="1">
      <alignment vertical="top"/>
    </xf>
    <xf numFmtId="167" fontId="13" fillId="0" borderId="0" xfId="1" applyNumberFormat="1" applyFont="1" applyBorder="1" applyAlignment="1">
      <alignment vertical="top"/>
    </xf>
    <xf numFmtId="167" fontId="1" fillId="0" borderId="0" xfId="1" applyNumberFormat="1" applyFont="1" applyBorder="1" applyAlignment="1">
      <alignment vertical="top"/>
    </xf>
    <xf numFmtId="167" fontId="1" fillId="4" borderId="6" xfId="1" applyNumberFormat="1" applyFont="1" applyFill="1" applyBorder="1" applyAlignment="1">
      <alignment vertical="top"/>
    </xf>
    <xf numFmtId="167" fontId="1" fillId="5" borderId="6" xfId="1" applyNumberFormat="1" applyFont="1" applyFill="1" applyBorder="1" applyAlignment="1">
      <alignment vertical="top"/>
    </xf>
    <xf numFmtId="167" fontId="1" fillId="3" borderId="6" xfId="1" applyNumberFormat="1" applyFont="1" applyFill="1" applyBorder="1" applyAlignment="1">
      <alignment vertical="top"/>
    </xf>
    <xf numFmtId="167" fontId="1" fillId="2" borderId="6" xfId="1" applyNumberFormat="1" applyFont="1" applyFill="1" applyBorder="1" applyAlignment="1">
      <alignment vertical="top"/>
    </xf>
    <xf numFmtId="167" fontId="13" fillId="6" borderId="6" xfId="1" applyNumberFormat="1" applyFont="1" applyFill="1" applyBorder="1" applyAlignment="1">
      <alignment vertical="top"/>
    </xf>
    <xf numFmtId="167" fontId="1" fillId="6" borderId="6" xfId="1" applyNumberFormat="1" applyFont="1" applyFill="1" applyBorder="1" applyAlignment="1">
      <alignment vertical="top"/>
    </xf>
    <xf numFmtId="40" fontId="3" fillId="0" borderId="7" xfId="1" applyNumberFormat="1" applyFont="1" applyFill="1" applyBorder="1" applyAlignment="1"/>
    <xf numFmtId="40" fontId="7" fillId="0" borderId="7" xfId="1" applyNumberFormat="1" applyFont="1" applyFill="1" applyBorder="1" applyAlignment="1"/>
    <xf numFmtId="40" fontId="7" fillId="0" borderId="12" xfId="1" applyNumberFormat="1" applyFont="1" applyFill="1" applyBorder="1" applyAlignment="1"/>
    <xf numFmtId="40" fontId="7" fillId="0" borderId="1" xfId="1" applyNumberFormat="1" applyFont="1" applyFill="1" applyBorder="1" applyAlignment="1"/>
    <xf numFmtId="40" fontId="3" fillId="0" borderId="9" xfId="1" applyNumberFormat="1" applyFont="1" applyFill="1" applyBorder="1" applyAlignment="1"/>
    <xf numFmtId="40" fontId="4" fillId="0" borderId="8" xfId="1" applyNumberFormat="1" applyFont="1" applyFill="1" applyBorder="1" applyAlignment="1"/>
    <xf numFmtId="40" fontId="3" fillId="0" borderId="12" xfId="1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left" vertical="top" wrapText="1"/>
    </xf>
    <xf numFmtId="165" fontId="7" fillId="0" borderId="1" xfId="0" applyNumberFormat="1" applyFont="1" applyFill="1" applyBorder="1" applyAlignment="1">
      <alignment horizontal="center" vertical="top" wrapText="1"/>
    </xf>
    <xf numFmtId="43" fontId="4" fillId="0" borderId="0" xfId="1" applyFont="1" applyFill="1" applyBorder="1"/>
    <xf numFmtId="49" fontId="3" fillId="3" borderId="7" xfId="1" applyNumberFormat="1" applyFont="1" applyFill="1" applyBorder="1" applyAlignment="1">
      <alignment horizontal="center"/>
    </xf>
    <xf numFmtId="49" fontId="3" fillId="3" borderId="7" xfId="0" applyNumberFormat="1" applyFont="1" applyFill="1" applyBorder="1"/>
    <xf numFmtId="167" fontId="0" fillId="0" borderId="0" xfId="0" applyNumberFormat="1" applyAlignment="1">
      <alignment vertical="top"/>
    </xf>
    <xf numFmtId="167" fontId="13" fillId="5" borderId="2" xfId="1" applyNumberFormat="1" applyFont="1" applyFill="1" applyBorder="1" applyAlignment="1">
      <alignment vertical="top"/>
    </xf>
    <xf numFmtId="167" fontId="13" fillId="5" borderId="6" xfId="1" applyNumberFormat="1" applyFont="1" applyFill="1" applyBorder="1" applyAlignment="1">
      <alignment vertical="top"/>
    </xf>
    <xf numFmtId="168" fontId="3" fillId="0" borderId="12" xfId="1" applyNumberFormat="1" applyFont="1" applyFill="1" applyBorder="1" applyAlignment="1"/>
    <xf numFmtId="168" fontId="3" fillId="0" borderId="8" xfId="1" applyNumberFormat="1" applyFont="1" applyFill="1" applyBorder="1" applyAlignment="1"/>
    <xf numFmtId="168" fontId="7" fillId="0" borderId="1" xfId="1" applyNumberFormat="1" applyFont="1" applyFill="1" applyBorder="1" applyAlignment="1"/>
    <xf numFmtId="168" fontId="3" fillId="0" borderId="7" xfId="1" applyNumberFormat="1" applyFont="1" applyFill="1" applyBorder="1" applyAlignment="1"/>
    <xf numFmtId="168" fontId="7" fillId="0" borderId="12" xfId="1" applyNumberFormat="1" applyFont="1" applyFill="1" applyBorder="1" applyAlignment="1"/>
    <xf numFmtId="40" fontId="7" fillId="3" borderId="13" xfId="1" applyNumberFormat="1" applyFont="1" applyFill="1" applyBorder="1" applyAlignment="1"/>
    <xf numFmtId="168" fontId="4" fillId="0" borderId="0" xfId="0" applyNumberFormat="1" applyFont="1" applyFill="1" applyBorder="1"/>
    <xf numFmtId="167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37" fontId="21" fillId="0" borderId="0" xfId="0" applyNumberFormat="1" applyFont="1" applyAlignment="1">
      <alignment vertical="center"/>
    </xf>
    <xf numFmtId="43" fontId="3" fillId="0" borderId="9" xfId="1" applyFont="1" applyFill="1" applyBorder="1" applyAlignment="1">
      <alignment horizontal="left"/>
    </xf>
    <xf numFmtId="37" fontId="22" fillId="0" borderId="0" xfId="0" applyNumberFormat="1" applyFont="1" applyAlignment="1">
      <alignment vertical="center"/>
    </xf>
    <xf numFmtId="37" fontId="21" fillId="0" borderId="10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/>
    <xf numFmtId="49" fontId="27" fillId="0" borderId="7" xfId="1" applyNumberFormat="1" applyFont="1" applyFill="1" applyBorder="1" applyAlignment="1">
      <alignment horizontal="left"/>
    </xf>
    <xf numFmtId="49" fontId="19" fillId="0" borderId="7" xfId="1" applyNumberFormat="1" applyFont="1" applyFill="1" applyBorder="1" applyAlignment="1">
      <alignment horizontal="left"/>
    </xf>
    <xf numFmtId="49" fontId="19" fillId="0" borderId="7" xfId="0" applyNumberFormat="1" applyFont="1" applyFill="1" applyBorder="1"/>
    <xf numFmtId="49" fontId="27" fillId="0" borderId="7" xfId="0" applyNumberFormat="1" applyFont="1" applyFill="1" applyBorder="1"/>
    <xf numFmtId="43" fontId="4" fillId="3" borderId="0" xfId="1" applyFont="1" applyFill="1" applyBorder="1"/>
    <xf numFmtId="0" fontId="0" fillId="3" borderId="0" xfId="1" applyNumberFormat="1" applyFont="1" applyFill="1" applyAlignment="1">
      <alignment horizontal="center" vertical="center"/>
    </xf>
    <xf numFmtId="0" fontId="15" fillId="0" borderId="0" xfId="0" applyFont="1" applyAlignment="1">
      <alignment vertical="top"/>
    </xf>
    <xf numFmtId="0" fontId="13" fillId="7" borderId="0" xfId="0" applyFont="1" applyFill="1" applyAlignment="1">
      <alignment vertical="top"/>
    </xf>
    <xf numFmtId="167" fontId="1" fillId="7" borderId="6" xfId="1" applyNumberFormat="1" applyFont="1" applyFill="1" applyBorder="1" applyAlignment="1">
      <alignment vertical="top"/>
    </xf>
    <xf numFmtId="0" fontId="36" fillId="0" borderId="0" xfId="0" applyFont="1" applyAlignment="1">
      <alignment vertical="top"/>
    </xf>
    <xf numFmtId="169" fontId="36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169" fontId="14" fillId="0" borderId="0" xfId="0" applyNumberFormat="1" applyFont="1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0" fontId="14" fillId="0" borderId="1" xfId="0" applyFont="1" applyBorder="1" applyAlignment="1">
      <alignment horizontal="center" vertical="center"/>
    </xf>
    <xf numFmtId="40" fontId="19" fillId="5" borderId="7" xfId="1" applyNumberFormat="1" applyFont="1" applyFill="1" applyBorder="1" applyAlignment="1"/>
    <xf numFmtId="4" fontId="20" fillId="0" borderId="0" xfId="0" applyNumberFormat="1" applyFont="1" applyFill="1" applyBorder="1"/>
    <xf numFmtId="0" fontId="14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13" fillId="0" borderId="0" xfId="0" applyNumberFormat="1" applyFont="1" applyAlignment="1">
      <alignment vertical="top"/>
    </xf>
    <xf numFmtId="0" fontId="13" fillId="3" borderId="0" xfId="0" applyFont="1" applyFill="1" applyAlignment="1">
      <alignment vertical="top"/>
    </xf>
    <xf numFmtId="0" fontId="37" fillId="0" borderId="0" xfId="0" applyFont="1" applyAlignment="1">
      <alignment vertical="top"/>
    </xf>
    <xf numFmtId="4" fontId="37" fillId="0" borderId="0" xfId="0" applyNumberFormat="1" applyFont="1" applyAlignment="1">
      <alignment vertical="top"/>
    </xf>
    <xf numFmtId="169" fontId="0" fillId="0" borderId="0" xfId="0" applyNumberFormat="1" applyAlignment="1">
      <alignment vertical="top"/>
    </xf>
    <xf numFmtId="43" fontId="37" fillId="0" borderId="0" xfId="1" applyFont="1" applyAlignment="1">
      <alignment vertical="top"/>
    </xf>
    <xf numFmtId="43" fontId="37" fillId="3" borderId="0" xfId="1" applyFont="1" applyFill="1" applyAlignment="1">
      <alignment vertical="top"/>
    </xf>
    <xf numFmtId="169" fontId="14" fillId="3" borderId="0" xfId="0" applyNumberFormat="1" applyFont="1" applyFill="1" applyAlignment="1">
      <alignment vertical="top"/>
    </xf>
    <xf numFmtId="166" fontId="13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169" fontId="0" fillId="3" borderId="1" xfId="0" applyNumberFormat="1" applyFill="1" applyBorder="1" applyAlignment="1">
      <alignment vertical="top"/>
    </xf>
    <xf numFmtId="0" fontId="37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43" fontId="13" fillId="0" borderId="0" xfId="1" applyFont="1" applyAlignment="1">
      <alignment vertical="top"/>
    </xf>
    <xf numFmtId="43" fontId="14" fillId="0" borderId="0" xfId="1" applyFont="1" applyAlignment="1">
      <alignment vertical="top"/>
    </xf>
    <xf numFmtId="4" fontId="0" fillId="11" borderId="0" xfId="0" applyNumberFormat="1" applyFill="1" applyAlignment="1">
      <alignment vertical="top"/>
    </xf>
    <xf numFmtId="4" fontId="0" fillId="12" borderId="0" xfId="0" applyNumberFormat="1" applyFill="1" applyAlignment="1">
      <alignment vertical="top"/>
    </xf>
    <xf numFmtId="4" fontId="0" fillId="8" borderId="0" xfId="0" applyNumberFormat="1" applyFill="1" applyAlignment="1">
      <alignment vertical="top"/>
    </xf>
    <xf numFmtId="43" fontId="0" fillId="5" borderId="0" xfId="1" applyFont="1" applyFill="1" applyAlignment="1">
      <alignment vertical="top"/>
    </xf>
    <xf numFmtId="43" fontId="0" fillId="10" borderId="0" xfId="1" applyFont="1" applyFill="1" applyAlignment="1">
      <alignment vertical="top"/>
    </xf>
    <xf numFmtId="167" fontId="1" fillId="13" borderId="6" xfId="1" applyNumberFormat="1" applyFont="1" applyFill="1" applyBorder="1" applyAlignment="1">
      <alignment vertical="top"/>
    </xf>
    <xf numFmtId="0" fontId="13" fillId="13" borderId="0" xfId="0" applyFont="1" applyFill="1" applyAlignment="1">
      <alignment vertical="top"/>
    </xf>
    <xf numFmtId="169" fontId="13" fillId="0" borderId="0" xfId="0" applyNumberFormat="1" applyFont="1" applyFill="1" applyAlignment="1">
      <alignment vertical="top"/>
    </xf>
    <xf numFmtId="43" fontId="0" fillId="13" borderId="0" xfId="1" applyFont="1" applyFill="1" applyAlignment="1">
      <alignment vertical="top"/>
    </xf>
    <xf numFmtId="0" fontId="13" fillId="14" borderId="0" xfId="0" applyFont="1" applyFill="1" applyAlignment="1">
      <alignment vertical="top"/>
    </xf>
    <xf numFmtId="167" fontId="13" fillId="14" borderId="6" xfId="1" applyNumberFormat="1" applyFont="1" applyFill="1" applyBorder="1" applyAlignment="1">
      <alignment vertical="top"/>
    </xf>
    <xf numFmtId="167" fontId="1" fillId="14" borderId="6" xfId="1" applyNumberFormat="1" applyFont="1" applyFill="1" applyBorder="1" applyAlignment="1">
      <alignment vertical="top"/>
    </xf>
    <xf numFmtId="0" fontId="0" fillId="14" borderId="0" xfId="0" applyFill="1" applyAlignment="1">
      <alignment vertical="top"/>
    </xf>
    <xf numFmtId="167" fontId="38" fillId="2" borderId="6" xfId="1" applyNumberFormat="1" applyFont="1" applyFill="1" applyBorder="1" applyAlignment="1">
      <alignment vertical="top"/>
    </xf>
    <xf numFmtId="167" fontId="38" fillId="0" borderId="6" xfId="1" applyNumberFormat="1" applyFont="1" applyBorder="1" applyAlignment="1">
      <alignment vertical="top"/>
    </xf>
    <xf numFmtId="168" fontId="3" fillId="0" borderId="9" xfId="1" applyNumberFormat="1" applyFont="1" applyFill="1" applyBorder="1" applyAlignment="1"/>
    <xf numFmtId="43" fontId="0" fillId="15" borderId="0" xfId="1" applyFont="1" applyFill="1" applyAlignment="1">
      <alignment vertical="top"/>
    </xf>
    <xf numFmtId="0" fontId="13" fillId="15" borderId="0" xfId="0" applyFont="1" applyFill="1" applyAlignment="1">
      <alignment vertical="top"/>
    </xf>
    <xf numFmtId="0" fontId="13" fillId="16" borderId="0" xfId="0" applyFont="1" applyFill="1" applyAlignment="1">
      <alignment vertical="top"/>
    </xf>
    <xf numFmtId="4" fontId="0" fillId="16" borderId="0" xfId="0" applyNumberFormat="1" applyFill="1" applyAlignment="1">
      <alignment vertical="top"/>
    </xf>
    <xf numFmtId="169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169" fontId="0" fillId="5" borderId="0" xfId="0" applyNumberFormat="1" applyFill="1" applyAlignment="1">
      <alignment vertical="top"/>
    </xf>
    <xf numFmtId="0" fontId="13" fillId="5" borderId="0" xfId="0" applyFont="1" applyFill="1" applyAlignment="1">
      <alignment vertical="top"/>
    </xf>
    <xf numFmtId="169" fontId="0" fillId="9" borderId="0" xfId="0" applyNumberFormat="1" applyFill="1" applyAlignment="1">
      <alignment vertical="top"/>
    </xf>
    <xf numFmtId="0" fontId="13" fillId="9" borderId="0" xfId="0" applyFont="1" applyFill="1" applyAlignment="1">
      <alignment vertical="top"/>
    </xf>
    <xf numFmtId="0" fontId="13" fillId="11" borderId="0" xfId="0" applyFont="1" applyFill="1" applyAlignment="1">
      <alignment vertical="top"/>
    </xf>
    <xf numFmtId="0" fontId="13" fillId="10" borderId="0" xfId="0" applyFont="1" applyFill="1" applyAlignment="1">
      <alignment vertical="top"/>
    </xf>
    <xf numFmtId="169" fontId="0" fillId="10" borderId="0" xfId="0" applyNumberFormat="1" applyFill="1" applyAlignment="1">
      <alignment vertical="top"/>
    </xf>
    <xf numFmtId="0" fontId="0" fillId="0" borderId="1" xfId="0" applyBorder="1" applyAlignment="1">
      <alignment horizontal="center" vertical="center"/>
    </xf>
    <xf numFmtId="4" fontId="0" fillId="5" borderId="0" xfId="0" applyNumberFormat="1" applyFill="1" applyAlignment="1">
      <alignment vertical="top"/>
    </xf>
    <xf numFmtId="0" fontId="13" fillId="17" borderId="0" xfId="0" applyFont="1" applyFill="1" applyAlignment="1">
      <alignment vertical="top"/>
    </xf>
    <xf numFmtId="4" fontId="0" fillId="17" borderId="0" xfId="0" applyNumberFormat="1" applyFill="1" applyAlignment="1">
      <alignment vertical="top"/>
    </xf>
    <xf numFmtId="169" fontId="13" fillId="5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4" fontId="0" fillId="3" borderId="0" xfId="0" applyNumberFormat="1" applyFill="1" applyAlignment="1">
      <alignment vertical="top"/>
    </xf>
    <xf numFmtId="0" fontId="13" fillId="8" borderId="0" xfId="0" applyFont="1" applyFill="1" applyAlignment="1">
      <alignment vertical="top"/>
    </xf>
    <xf numFmtId="0" fontId="13" fillId="6" borderId="0" xfId="0" applyFont="1" applyFill="1" applyAlignment="1">
      <alignment vertical="top"/>
    </xf>
    <xf numFmtId="4" fontId="0" fillId="6" borderId="0" xfId="0" applyNumberFormat="1" applyFill="1" applyAlignment="1">
      <alignment vertical="top"/>
    </xf>
    <xf numFmtId="168" fontId="4" fillId="0" borderId="8" xfId="1" applyNumberFormat="1" applyFont="1" applyFill="1" applyBorder="1" applyAlignment="1"/>
    <xf numFmtId="0" fontId="13" fillId="18" borderId="0" xfId="0" applyFont="1" applyFill="1" applyAlignment="1">
      <alignment vertical="top"/>
    </xf>
    <xf numFmtId="4" fontId="0" fillId="18" borderId="0" xfId="0" applyNumberFormat="1" applyFill="1" applyAlignment="1">
      <alignment vertical="top"/>
    </xf>
    <xf numFmtId="0" fontId="13" fillId="19" borderId="0" xfId="0" applyFont="1" applyFill="1" applyAlignment="1">
      <alignment vertical="top"/>
    </xf>
    <xf numFmtId="4" fontId="0" fillId="19" borderId="0" xfId="0" applyNumberFormat="1" applyFill="1" applyAlignment="1">
      <alignment vertical="top"/>
    </xf>
    <xf numFmtId="4" fontId="37" fillId="3" borderId="0" xfId="0" applyNumberFormat="1" applyFont="1" applyFill="1" applyAlignment="1">
      <alignment vertical="top"/>
    </xf>
    <xf numFmtId="169" fontId="13" fillId="3" borderId="0" xfId="0" applyNumberFormat="1" applyFont="1" applyFill="1" applyAlignment="1">
      <alignment vertical="top"/>
    </xf>
    <xf numFmtId="169" fontId="15" fillId="3" borderId="0" xfId="0" applyNumberFormat="1" applyFont="1" applyFill="1" applyAlignment="1">
      <alignment vertical="top"/>
    </xf>
    <xf numFmtId="43" fontId="0" fillId="3" borderId="0" xfId="1" applyFont="1" applyFill="1" applyAlignment="1">
      <alignment vertical="top"/>
    </xf>
    <xf numFmtId="0" fontId="13" fillId="20" borderId="0" xfId="0" applyFont="1" applyFill="1" applyAlignment="1">
      <alignment vertical="top"/>
    </xf>
    <xf numFmtId="4" fontId="0" fillId="20" borderId="0" xfId="0" applyNumberFormat="1" applyFill="1" applyAlignment="1">
      <alignment vertical="top"/>
    </xf>
    <xf numFmtId="0" fontId="7" fillId="5" borderId="8" xfId="0" applyFont="1" applyFill="1" applyBorder="1" applyAlignment="1">
      <alignment horizontal="left" vertical="top" wrapText="1"/>
    </xf>
    <xf numFmtId="0" fontId="7" fillId="5" borderId="12" xfId="0" applyFont="1" applyFill="1" applyBorder="1"/>
    <xf numFmtId="40" fontId="7" fillId="5" borderId="9" xfId="1" applyNumberFormat="1" applyFont="1" applyFill="1" applyBorder="1" applyAlignment="1"/>
    <xf numFmtId="0" fontId="7" fillId="5" borderId="9" xfId="0" applyFont="1" applyFill="1" applyBorder="1" applyAlignment="1">
      <alignment horizontal="left" vertical="top" wrapText="1"/>
    </xf>
    <xf numFmtId="0" fontId="7" fillId="5" borderId="7" xfId="0" applyFont="1" applyFill="1" applyBorder="1"/>
    <xf numFmtId="168" fontId="7" fillId="5" borderId="12" xfId="1" applyNumberFormat="1" applyFont="1" applyFill="1" applyBorder="1" applyAlignment="1"/>
    <xf numFmtId="0" fontId="7" fillId="5" borderId="8" xfId="0" applyFont="1" applyFill="1" applyBorder="1" applyAlignment="1"/>
    <xf numFmtId="0" fontId="7" fillId="5" borderId="7" xfId="0" applyFont="1" applyFill="1" applyBorder="1" applyAlignment="1"/>
    <xf numFmtId="40" fontId="7" fillId="5" borderId="8" xfId="1" applyNumberFormat="1" applyFont="1" applyFill="1" applyBorder="1" applyAlignment="1"/>
    <xf numFmtId="168" fontId="7" fillId="5" borderId="8" xfId="1" applyNumberFormat="1" applyFont="1" applyFill="1" applyBorder="1" applyAlignment="1"/>
    <xf numFmtId="170" fontId="4" fillId="0" borderId="0" xfId="0" applyNumberFormat="1" applyFont="1" applyFill="1" applyBorder="1"/>
    <xf numFmtId="0" fontId="34" fillId="0" borderId="1" xfId="0" applyFont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0" fillId="0" borderId="1" xfId="0" applyFont="1" applyFill="1" applyBorder="1" applyAlignment="1">
      <alignment vertical="center"/>
    </xf>
    <xf numFmtId="0" fontId="30" fillId="0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32" fillId="0" borderId="1" xfId="0" applyFont="1" applyFill="1" applyBorder="1" applyAlignment="1">
      <alignment vertical="center"/>
    </xf>
    <xf numFmtId="40" fontId="30" fillId="0" borderId="1" xfId="0" applyNumberFormat="1" applyFont="1" applyFill="1" applyBorder="1" applyAlignment="1">
      <alignment vertical="center"/>
    </xf>
    <xf numFmtId="43" fontId="30" fillId="0" borderId="1" xfId="1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4" fillId="20" borderId="1" xfId="0" applyFont="1" applyFill="1" applyBorder="1" applyAlignment="1">
      <alignment horizontal="center" vertical="top"/>
    </xf>
    <xf numFmtId="169" fontId="13" fillId="18" borderId="0" xfId="0" applyNumberFormat="1" applyFont="1" applyFill="1" applyAlignment="1">
      <alignment vertical="top"/>
    </xf>
    <xf numFmtId="0" fontId="0" fillId="18" borderId="0" xfId="0" applyFill="1" applyAlignment="1">
      <alignment vertical="top"/>
    </xf>
    <xf numFmtId="4" fontId="0" fillId="21" borderId="0" xfId="0" applyNumberFormat="1" applyFill="1" applyAlignment="1">
      <alignment vertical="top"/>
    </xf>
    <xf numFmtId="4" fontId="0" fillId="22" borderId="0" xfId="0" applyNumberFormat="1" applyFill="1" applyAlignment="1">
      <alignment vertical="top"/>
    </xf>
    <xf numFmtId="0" fontId="13" fillId="21" borderId="0" xfId="0" applyFont="1" applyFill="1" applyAlignment="1">
      <alignment vertical="top"/>
    </xf>
    <xf numFmtId="4" fontId="0" fillId="13" borderId="0" xfId="0" applyNumberFormat="1" applyFill="1" applyAlignment="1">
      <alignment vertical="top"/>
    </xf>
    <xf numFmtId="4" fontId="4" fillId="8" borderId="0" xfId="0" applyNumberFormat="1" applyFont="1" applyFill="1" applyBorder="1"/>
    <xf numFmtId="0" fontId="13" fillId="22" borderId="0" xfId="0" applyFont="1" applyFill="1" applyAlignment="1">
      <alignment vertical="top"/>
    </xf>
    <xf numFmtId="0" fontId="13" fillId="23" borderId="0" xfId="0" applyFont="1" applyFill="1" applyAlignment="1">
      <alignment vertical="top"/>
    </xf>
    <xf numFmtId="4" fontId="0" fillId="23" borderId="0" xfId="0" applyNumberFormat="1" applyFill="1" applyAlignment="1">
      <alignment vertical="top"/>
    </xf>
    <xf numFmtId="4" fontId="39" fillId="23" borderId="0" xfId="0" applyNumberFormat="1" applyFont="1" applyFill="1" applyAlignment="1">
      <alignment vertical="top"/>
    </xf>
    <xf numFmtId="0" fontId="40" fillId="23" borderId="0" xfId="0" applyFont="1" applyFill="1" applyAlignment="1">
      <alignment vertical="top"/>
    </xf>
    <xf numFmtId="4" fontId="41" fillId="23" borderId="0" xfId="0" applyNumberFormat="1" applyFont="1" applyFill="1" applyAlignment="1">
      <alignment vertical="top"/>
    </xf>
    <xf numFmtId="0" fontId="42" fillId="0" borderId="1" xfId="0" applyFont="1" applyBorder="1" applyAlignment="1">
      <alignment horizontal="center" vertical="center"/>
    </xf>
    <xf numFmtId="169" fontId="42" fillId="0" borderId="0" xfId="0" applyNumberFormat="1" applyFont="1" applyFill="1" applyAlignment="1">
      <alignment vertical="top"/>
    </xf>
    <xf numFmtId="0" fontId="42" fillId="0" borderId="0" xfId="0" applyFont="1" applyFill="1" applyAlignment="1">
      <alignment vertical="top"/>
    </xf>
    <xf numFmtId="164" fontId="0" fillId="3" borderId="0" xfId="1" applyNumberFormat="1" applyFont="1" applyFill="1" applyAlignment="1">
      <alignment vertical="top"/>
    </xf>
    <xf numFmtId="4" fontId="42" fillId="0" borderId="0" xfId="0" applyNumberFormat="1" applyFont="1" applyAlignment="1">
      <alignment vertical="top"/>
    </xf>
    <xf numFmtId="0" fontId="42" fillId="0" borderId="0" xfId="0" applyFont="1" applyAlignment="1">
      <alignment vertical="top"/>
    </xf>
    <xf numFmtId="0" fontId="43" fillId="0" borderId="0" xfId="0" applyFont="1" applyAlignment="1">
      <alignment vertical="top"/>
    </xf>
    <xf numFmtId="4" fontId="42" fillId="13" borderId="0" xfId="0" applyNumberFormat="1" applyFont="1" applyFill="1" applyAlignment="1">
      <alignment vertical="top"/>
    </xf>
    <xf numFmtId="4" fontId="0" fillId="24" borderId="0" xfId="0" applyNumberFormat="1" applyFill="1" applyAlignment="1">
      <alignment vertical="top"/>
    </xf>
    <xf numFmtId="0" fontId="13" fillId="24" borderId="0" xfId="0" applyFont="1" applyFill="1" applyAlignment="1">
      <alignment vertical="top"/>
    </xf>
    <xf numFmtId="0" fontId="13" fillId="25" borderId="0" xfId="0" applyFont="1" applyFill="1" applyAlignment="1">
      <alignment vertical="top"/>
    </xf>
    <xf numFmtId="4" fontId="0" fillId="25" borderId="0" xfId="0" applyNumberFormat="1" applyFill="1" applyAlignment="1">
      <alignment vertical="top"/>
    </xf>
    <xf numFmtId="4" fontId="0" fillId="26" borderId="0" xfId="0" applyNumberFormat="1" applyFill="1" applyAlignment="1">
      <alignment vertical="top"/>
    </xf>
    <xf numFmtId="4" fontId="0" fillId="27" borderId="0" xfId="0" applyNumberFormat="1" applyFill="1" applyAlignment="1">
      <alignment vertical="top"/>
    </xf>
    <xf numFmtId="0" fontId="13" fillId="27" borderId="0" xfId="0" applyFont="1" applyFill="1" applyAlignment="1">
      <alignment vertical="top"/>
    </xf>
    <xf numFmtId="0" fontId="13" fillId="26" borderId="0" xfId="0" applyFont="1" applyFill="1" applyAlignment="1">
      <alignment vertical="top"/>
    </xf>
    <xf numFmtId="4" fontId="0" fillId="28" borderId="0" xfId="0" applyNumberFormat="1" applyFill="1" applyAlignment="1">
      <alignment vertical="top"/>
    </xf>
    <xf numFmtId="0" fontId="13" fillId="28" borderId="0" xfId="0" applyFont="1" applyFill="1" applyAlignment="1">
      <alignment vertical="top"/>
    </xf>
    <xf numFmtId="168" fontId="3" fillId="3" borderId="7" xfId="1" applyNumberFormat="1" applyFont="1" applyFill="1" applyBorder="1" applyAlignment="1"/>
    <xf numFmtId="40" fontId="44" fillId="0" borderId="7" xfId="1" applyNumberFormat="1" applyFont="1" applyFill="1" applyBorder="1" applyAlignment="1"/>
    <xf numFmtId="168" fontId="19" fillId="3" borderId="12" xfId="1" applyNumberFormat="1" applyFont="1" applyFill="1" applyBorder="1" applyAlignment="1"/>
    <xf numFmtId="0" fontId="45" fillId="0" borderId="0" xfId="0" applyFont="1" applyFill="1" applyBorder="1" applyAlignment="1">
      <alignment horizontal="center" vertical="center"/>
    </xf>
    <xf numFmtId="43" fontId="45" fillId="0" borderId="0" xfId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165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/>
    </xf>
    <xf numFmtId="164" fontId="14" fillId="0" borderId="0" xfId="1" applyNumberFormat="1" applyFont="1" applyAlignment="1">
      <alignment vertical="top"/>
    </xf>
    <xf numFmtId="169" fontId="37" fillId="0" borderId="0" xfId="0" applyNumberFormat="1" applyFont="1" applyAlignment="1">
      <alignment vertical="top"/>
    </xf>
    <xf numFmtId="40" fontId="3" fillId="16" borderId="7" xfId="1" applyNumberFormat="1" applyFont="1" applyFill="1" applyBorder="1" applyAlignment="1"/>
    <xf numFmtId="168" fontId="3" fillId="6" borderId="7" xfId="1" applyNumberFormat="1" applyFont="1" applyFill="1" applyBorder="1" applyAlignment="1"/>
    <xf numFmtId="168" fontId="3" fillId="8" borderId="7" xfId="1" applyNumberFormat="1" applyFont="1" applyFill="1" applyBorder="1" applyAlignment="1"/>
    <xf numFmtId="168" fontId="3" fillId="13" borderId="7" xfId="1" applyNumberFormat="1" applyFont="1" applyFill="1" applyBorder="1" applyAlignment="1"/>
    <xf numFmtId="0" fontId="14" fillId="0" borderId="1" xfId="0" applyFont="1" applyBorder="1" applyAlignment="1">
      <alignment horizontal="center" vertical="center"/>
    </xf>
    <xf numFmtId="164" fontId="14" fillId="0" borderId="0" xfId="0" applyNumberFormat="1" applyFont="1" applyAlignment="1">
      <alignment vertical="top"/>
    </xf>
    <xf numFmtId="169" fontId="14" fillId="29" borderId="0" xfId="0" applyNumberFormat="1" applyFont="1" applyFill="1" applyAlignment="1">
      <alignment vertical="top"/>
    </xf>
    <xf numFmtId="169" fontId="14" fillId="16" borderId="0" xfId="0" applyNumberFormat="1" applyFont="1" applyFill="1" applyAlignment="1">
      <alignment vertical="top"/>
    </xf>
    <xf numFmtId="0" fontId="3" fillId="18" borderId="9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 wrapText="1"/>
    </xf>
    <xf numFmtId="169" fontId="14" fillId="6" borderId="0" xfId="0" applyNumberFormat="1" applyFont="1" applyFill="1" applyAlignment="1">
      <alignment vertical="top"/>
    </xf>
    <xf numFmtId="168" fontId="3" fillId="18" borderId="7" xfId="1" applyNumberFormat="1" applyFont="1" applyFill="1" applyBorder="1" applyAlignment="1"/>
    <xf numFmtId="169" fontId="14" fillId="18" borderId="0" xfId="0" applyNumberFormat="1" applyFont="1" applyFill="1" applyAlignment="1">
      <alignment vertical="top"/>
    </xf>
    <xf numFmtId="0" fontId="3" fillId="13" borderId="9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168" fontId="3" fillId="15" borderId="7" xfId="1" applyNumberFormat="1" applyFont="1" applyFill="1" applyBorder="1" applyAlignment="1"/>
    <xf numFmtId="0" fontId="3" fillId="21" borderId="9" xfId="0" applyFont="1" applyFill="1" applyBorder="1" applyAlignment="1">
      <alignment horizontal="left" vertical="top" wrapText="1"/>
    </xf>
    <xf numFmtId="168" fontId="3" fillId="21" borderId="7" xfId="1" applyNumberFormat="1" applyFont="1" applyFill="1" applyBorder="1" applyAlignment="1"/>
    <xf numFmtId="168" fontId="3" fillId="26" borderId="7" xfId="1" applyNumberFormat="1" applyFont="1" applyFill="1" applyBorder="1" applyAlignment="1"/>
    <xf numFmtId="0" fontId="3" fillId="8" borderId="9" xfId="0" applyFont="1" applyFill="1" applyBorder="1" applyAlignment="1">
      <alignment horizontal="left" vertical="top" wrapText="1"/>
    </xf>
    <xf numFmtId="168" fontId="3" fillId="31" borderId="7" xfId="1" applyNumberFormat="1" applyFont="1" applyFill="1" applyBorder="1" applyAlignment="1"/>
    <xf numFmtId="169" fontId="14" fillId="21" borderId="0" xfId="0" applyNumberFormat="1" applyFont="1" applyFill="1" applyAlignment="1">
      <alignment vertical="top"/>
    </xf>
    <xf numFmtId="169" fontId="14" fillId="8" borderId="0" xfId="0" applyNumberFormat="1" applyFont="1" applyFill="1" applyAlignment="1">
      <alignment vertical="top"/>
    </xf>
    <xf numFmtId="169" fontId="14" fillId="13" borderId="0" xfId="0" applyNumberFormat="1" applyFont="1" applyFill="1" applyAlignment="1">
      <alignment vertical="top"/>
    </xf>
    <xf numFmtId="169" fontId="14" fillId="15" borderId="0" xfId="0" applyNumberFormat="1" applyFont="1" applyFill="1" applyAlignment="1">
      <alignment vertical="top"/>
    </xf>
    <xf numFmtId="0" fontId="12" fillId="15" borderId="7" xfId="0" applyFont="1" applyFill="1" applyBorder="1"/>
    <xf numFmtId="0" fontId="13" fillId="31" borderId="0" xfId="0" applyFont="1" applyFill="1" applyAlignment="1">
      <alignment vertical="top"/>
    </xf>
    <xf numFmtId="169" fontId="14" fillId="31" borderId="0" xfId="0" applyNumberFormat="1" applyFont="1" applyFill="1" applyAlignment="1">
      <alignment vertical="top"/>
    </xf>
    <xf numFmtId="0" fontId="3" fillId="31" borderId="7" xfId="0" applyFont="1" applyFill="1" applyBorder="1"/>
    <xf numFmtId="169" fontId="14" fillId="30" borderId="0" xfId="0" applyNumberFormat="1" applyFont="1" applyFill="1" applyAlignment="1">
      <alignment vertical="top"/>
    </xf>
    <xf numFmtId="0" fontId="13" fillId="30" borderId="0" xfId="0" applyFont="1" applyFill="1" applyAlignment="1">
      <alignment vertical="top"/>
    </xf>
    <xf numFmtId="0" fontId="3" fillId="30" borderId="7" xfId="0" applyFont="1" applyFill="1" applyBorder="1"/>
    <xf numFmtId="168" fontId="44" fillId="30" borderId="7" xfId="1" applyNumberFormat="1" applyFont="1" applyFill="1" applyBorder="1" applyAlignment="1"/>
    <xf numFmtId="0" fontId="13" fillId="29" borderId="0" xfId="0" applyFont="1" applyFill="1" applyAlignment="1">
      <alignment vertical="top"/>
    </xf>
    <xf numFmtId="168" fontId="3" fillId="29" borderId="7" xfId="1" applyNumberFormat="1" applyFont="1" applyFill="1" applyBorder="1" applyAlignment="1"/>
    <xf numFmtId="0" fontId="3" fillId="29" borderId="7" xfId="0" applyFont="1" applyFill="1" applyBorder="1"/>
    <xf numFmtId="169" fontId="14" fillId="26" borderId="0" xfId="0" applyNumberFormat="1" applyFont="1" applyFill="1" applyAlignment="1">
      <alignment vertical="top"/>
    </xf>
    <xf numFmtId="0" fontId="3" fillId="26" borderId="7" xfId="0" applyFont="1" applyFill="1" applyBorder="1"/>
    <xf numFmtId="0" fontId="13" fillId="33" borderId="0" xfId="0" applyFont="1" applyFill="1" applyAlignment="1">
      <alignment vertical="top"/>
    </xf>
    <xf numFmtId="169" fontId="14" fillId="33" borderId="0" xfId="0" applyNumberFormat="1" applyFont="1" applyFill="1" applyAlignment="1">
      <alignment vertical="top"/>
    </xf>
    <xf numFmtId="0" fontId="13" fillId="32" borderId="0" xfId="0" applyFont="1" applyFill="1" applyAlignment="1">
      <alignment vertical="top"/>
    </xf>
    <xf numFmtId="169" fontId="14" fillId="32" borderId="0" xfId="0" applyNumberFormat="1" applyFont="1" applyFill="1" applyAlignment="1">
      <alignment vertical="top"/>
    </xf>
    <xf numFmtId="0" fontId="1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vertical="top"/>
    </xf>
    <xf numFmtId="0" fontId="14" fillId="0" borderId="21" xfId="0" applyFont="1" applyBorder="1" applyAlignment="1">
      <alignment horizontal="center" vertical="center"/>
    </xf>
    <xf numFmtId="169" fontId="14" fillId="5" borderId="21" xfId="0" applyNumberFormat="1" applyFont="1" applyFill="1" applyBorder="1" applyAlignment="1">
      <alignment horizontal="center" vertical="center"/>
    </xf>
    <xf numFmtId="169" fontId="14" fillId="5" borderId="21" xfId="0" quotePrefix="1" applyNumberFormat="1" applyFont="1" applyFill="1" applyBorder="1" applyAlignment="1">
      <alignment horizontal="center" vertical="center"/>
    </xf>
    <xf numFmtId="169" fontId="14" fillId="5" borderId="22" xfId="0" quotePrefix="1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vertical="top"/>
    </xf>
    <xf numFmtId="0" fontId="13" fillId="0" borderId="24" xfId="0" applyFont="1" applyBorder="1" applyAlignment="1">
      <alignment horizontal="center" vertical="center"/>
    </xf>
    <xf numFmtId="169" fontId="13" fillId="0" borderId="24" xfId="0" applyNumberFormat="1" applyFont="1" applyBorder="1" applyAlignment="1">
      <alignment horizontal="center" vertical="top"/>
    </xf>
    <xf numFmtId="169" fontId="13" fillId="0" borderId="25" xfId="0" applyNumberFormat="1" applyFont="1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169" fontId="13" fillId="5" borderId="24" xfId="0" applyNumberFormat="1" applyFont="1" applyFill="1" applyBorder="1" applyAlignment="1">
      <alignment horizontal="center" vertical="center"/>
    </xf>
    <xf numFmtId="164" fontId="13" fillId="5" borderId="25" xfId="1" applyNumberFormat="1" applyFont="1" applyFill="1" applyBorder="1" applyAlignment="1">
      <alignment horizontal="center" vertical="center"/>
    </xf>
    <xf numFmtId="164" fontId="13" fillId="0" borderId="25" xfId="1" applyNumberFormat="1" applyFont="1" applyBorder="1" applyAlignment="1">
      <alignment horizontal="center" vertical="top"/>
    </xf>
    <xf numFmtId="169" fontId="13" fillId="5" borderId="24" xfId="0" applyNumberFormat="1" applyFont="1" applyFill="1" applyBorder="1" applyAlignment="1">
      <alignment horizontal="center" vertical="top"/>
    </xf>
    <xf numFmtId="169" fontId="13" fillId="5" borderId="25" xfId="0" applyNumberFormat="1" applyFont="1" applyFill="1" applyBorder="1" applyAlignment="1">
      <alignment horizontal="center" vertical="top"/>
    </xf>
    <xf numFmtId="0" fontId="13" fillId="0" borderId="26" xfId="0" applyFont="1" applyBorder="1" applyAlignment="1">
      <alignment vertical="top"/>
    </xf>
    <xf numFmtId="0" fontId="13" fillId="0" borderId="27" xfId="0" applyFont="1" applyBorder="1" applyAlignment="1">
      <alignment horizontal="center" vertical="center"/>
    </xf>
    <xf numFmtId="169" fontId="13" fillId="0" borderId="27" xfId="0" applyNumberFormat="1" applyFont="1" applyBorder="1" applyAlignment="1">
      <alignment vertical="top"/>
    </xf>
    <xf numFmtId="169" fontId="13" fillId="5" borderId="27" xfId="0" quotePrefix="1" applyNumberFormat="1" applyFont="1" applyFill="1" applyBorder="1" applyAlignment="1">
      <alignment horizontal="center" vertical="center"/>
    </xf>
    <xf numFmtId="169" fontId="13" fillId="0" borderId="28" xfId="0" applyNumberFormat="1" applyFont="1" applyBorder="1" applyAlignment="1">
      <alignment vertical="top"/>
    </xf>
    <xf numFmtId="0" fontId="15" fillId="0" borderId="0" xfId="0" applyFont="1" applyAlignment="1">
      <alignment horizontal="right" vertical="top"/>
    </xf>
    <xf numFmtId="0" fontId="14" fillId="0" borderId="29" xfId="0" applyFont="1" applyBorder="1" applyAlignment="1">
      <alignment vertical="top"/>
    </xf>
    <xf numFmtId="0" fontId="14" fillId="0" borderId="30" xfId="0" applyFont="1" applyBorder="1" applyAlignment="1">
      <alignment horizontal="center" vertical="center"/>
    </xf>
    <xf numFmtId="169" fontId="14" fillId="5" borderId="30" xfId="0" applyNumberFormat="1" applyFont="1" applyFill="1" applyBorder="1" applyAlignment="1">
      <alignment horizontal="center" vertical="center"/>
    </xf>
    <xf numFmtId="164" fontId="14" fillId="5" borderId="30" xfId="1" applyNumberFormat="1" applyFont="1" applyFill="1" applyBorder="1" applyAlignment="1">
      <alignment horizontal="center" vertical="center"/>
    </xf>
    <xf numFmtId="164" fontId="14" fillId="5" borderId="30" xfId="1" quotePrefix="1" applyNumberFormat="1" applyFont="1" applyFill="1" applyBorder="1" applyAlignment="1">
      <alignment horizontal="center" vertical="center"/>
    </xf>
    <xf numFmtId="169" fontId="14" fillId="5" borderId="30" xfId="0" quotePrefix="1" applyNumberFormat="1" applyFont="1" applyFill="1" applyBorder="1" applyAlignment="1">
      <alignment horizontal="center" vertical="center"/>
    </xf>
    <xf numFmtId="164" fontId="14" fillId="5" borderId="31" xfId="1" quotePrefix="1" applyNumberFormat="1" applyFont="1" applyFill="1" applyBorder="1" applyAlignment="1">
      <alignment horizontal="center" vertical="center"/>
    </xf>
    <xf numFmtId="169" fontId="14" fillId="0" borderId="21" xfId="0" applyNumberFormat="1" applyFont="1" applyBorder="1" applyAlignment="1">
      <alignment vertical="top"/>
    </xf>
    <xf numFmtId="169" fontId="14" fillId="0" borderId="22" xfId="0" applyNumberFormat="1" applyFont="1" applyBorder="1" applyAlignment="1">
      <alignment vertical="top"/>
    </xf>
    <xf numFmtId="0" fontId="13" fillId="0" borderId="32" xfId="0" applyFont="1" applyBorder="1" applyAlignment="1">
      <alignment vertical="top"/>
    </xf>
    <xf numFmtId="0" fontId="13" fillId="0" borderId="33" xfId="0" applyFont="1" applyBorder="1" applyAlignment="1">
      <alignment horizontal="center" vertical="center"/>
    </xf>
    <xf numFmtId="169" fontId="13" fillId="5" borderId="33" xfId="0" applyNumberFormat="1" applyFont="1" applyFill="1" applyBorder="1" applyAlignment="1">
      <alignment horizontal="center" vertical="center"/>
    </xf>
    <xf numFmtId="164" fontId="13" fillId="5" borderId="33" xfId="1" applyNumberFormat="1" applyFont="1" applyFill="1" applyBorder="1" applyAlignment="1">
      <alignment horizontal="center" vertical="center"/>
    </xf>
    <xf numFmtId="164" fontId="13" fillId="5" borderId="33" xfId="1" quotePrefix="1" applyNumberFormat="1" applyFont="1" applyFill="1" applyBorder="1" applyAlignment="1">
      <alignment horizontal="center" vertical="center"/>
    </xf>
    <xf numFmtId="169" fontId="13" fillId="5" borderId="33" xfId="0" quotePrefix="1" applyNumberFormat="1" applyFont="1" applyFill="1" applyBorder="1" applyAlignment="1">
      <alignment horizontal="center" vertical="center"/>
    </xf>
    <xf numFmtId="169" fontId="13" fillId="5" borderId="34" xfId="0" quotePrefix="1" applyNumberFormat="1" applyFont="1" applyFill="1" applyBorder="1" applyAlignment="1">
      <alignment horizontal="center" vertical="center"/>
    </xf>
    <xf numFmtId="164" fontId="13" fillId="5" borderId="35" xfId="1" quotePrefix="1" applyNumberFormat="1" applyFont="1" applyFill="1" applyBorder="1" applyAlignment="1">
      <alignment horizontal="center" vertical="center"/>
    </xf>
    <xf numFmtId="164" fontId="13" fillId="5" borderId="36" xfId="1" quotePrefix="1" applyNumberFormat="1" applyFont="1" applyFill="1" applyBorder="1" applyAlignment="1">
      <alignment horizontal="center" vertical="center"/>
    </xf>
    <xf numFmtId="164" fontId="14" fillId="5" borderId="30" xfId="1" applyNumberFormat="1" applyFont="1" applyFill="1" applyBorder="1" applyAlignment="1">
      <alignment vertical="top"/>
    </xf>
    <xf numFmtId="0" fontId="14" fillId="0" borderId="32" xfId="0" applyFont="1" applyBorder="1" applyAlignment="1">
      <alignment vertical="top"/>
    </xf>
    <xf numFmtId="0" fontId="14" fillId="0" borderId="33" xfId="0" applyFont="1" applyBorder="1" applyAlignment="1">
      <alignment horizontal="center" vertical="center"/>
    </xf>
    <xf numFmtId="169" fontId="14" fillId="0" borderId="33" xfId="0" applyNumberFormat="1" applyFont="1" applyBorder="1" applyAlignment="1">
      <alignment vertical="top"/>
    </xf>
    <xf numFmtId="169" fontId="14" fillId="0" borderId="34" xfId="0" applyNumberFormat="1" applyFont="1" applyBorder="1" applyAlignment="1">
      <alignment vertical="top"/>
    </xf>
    <xf numFmtId="169" fontId="13" fillId="0" borderId="24" xfId="0" applyNumberFormat="1" applyFont="1" applyBorder="1" applyAlignment="1">
      <alignment vertical="top"/>
    </xf>
    <xf numFmtId="169" fontId="13" fillId="5" borderId="25" xfId="0" applyNumberFormat="1" applyFont="1" applyFill="1" applyBorder="1" applyAlignment="1">
      <alignment horizontal="center" vertical="center"/>
    </xf>
    <xf numFmtId="169" fontId="13" fillId="0" borderId="24" xfId="0" applyNumberFormat="1" applyFont="1" applyBorder="1" applyAlignment="1">
      <alignment horizontal="center" vertical="center"/>
    </xf>
    <xf numFmtId="171" fontId="13" fillId="5" borderId="24" xfId="0" applyNumberFormat="1" applyFont="1" applyFill="1" applyBorder="1" applyAlignment="1">
      <alignment horizontal="center" vertical="center"/>
    </xf>
    <xf numFmtId="169" fontId="13" fillId="0" borderId="25" xfId="0" applyNumberFormat="1" applyFont="1" applyBorder="1" applyAlignment="1">
      <alignment vertical="top"/>
    </xf>
    <xf numFmtId="0" fontId="13" fillId="0" borderId="37" xfId="0" applyFont="1" applyBorder="1" applyAlignment="1">
      <alignment vertical="top"/>
    </xf>
    <xf numFmtId="0" fontId="13" fillId="0" borderId="38" xfId="0" applyFont="1" applyBorder="1" applyAlignment="1">
      <alignment horizontal="center" vertical="center"/>
    </xf>
    <xf numFmtId="169" fontId="13" fillId="0" borderId="38" xfId="0" applyNumberFormat="1" applyFont="1" applyBorder="1" applyAlignment="1">
      <alignment vertical="top"/>
    </xf>
    <xf numFmtId="169" fontId="13" fillId="5" borderId="38" xfId="0" quotePrefix="1" applyNumberFormat="1" applyFont="1" applyFill="1" applyBorder="1" applyAlignment="1">
      <alignment horizontal="center" vertical="center"/>
    </xf>
    <xf numFmtId="169" fontId="13" fillId="0" borderId="39" xfId="0" applyNumberFormat="1" applyFont="1" applyBorder="1" applyAlignment="1">
      <alignment vertical="top"/>
    </xf>
    <xf numFmtId="0" fontId="14" fillId="0" borderId="1" xfId="0" applyFont="1" applyBorder="1" applyAlignment="1">
      <alignment vertical="top"/>
    </xf>
    <xf numFmtId="169" fontId="14" fillId="5" borderId="30" xfId="0" applyNumberFormat="1" applyFont="1" applyFill="1" applyBorder="1" applyAlignment="1">
      <alignment vertical="top"/>
    </xf>
    <xf numFmtId="164" fontId="14" fillId="5" borderId="36" xfId="1" quotePrefix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top" wrapText="1"/>
    </xf>
    <xf numFmtId="49" fontId="3" fillId="0" borderId="8" xfId="0" applyNumberFormat="1" applyFont="1" applyFill="1" applyBorder="1" applyAlignment="1">
      <alignment horizontal="left" vertical="top" wrapText="1"/>
    </xf>
    <xf numFmtId="49" fontId="3" fillId="0" borderId="9" xfId="0" applyNumberFormat="1" applyFont="1" applyFill="1" applyBorder="1" applyAlignment="1">
      <alignment horizontal="left" vertical="top" wrapText="1"/>
    </xf>
    <xf numFmtId="165" fontId="7" fillId="0" borderId="11" xfId="0" applyNumberFormat="1" applyFont="1" applyFill="1" applyBorder="1" applyAlignment="1">
      <alignment horizontal="center" vertical="top" wrapText="1"/>
    </xf>
    <xf numFmtId="165" fontId="7" fillId="0" borderId="0" xfId="0" applyNumberFormat="1" applyFont="1" applyFill="1" applyBorder="1" applyAlignment="1">
      <alignment horizontal="center" vertical="top" wrapText="1"/>
    </xf>
    <xf numFmtId="167" fontId="16" fillId="0" borderId="1" xfId="1" applyNumberFormat="1" applyFont="1" applyBorder="1" applyAlignment="1">
      <alignment horizontal="center" vertical="top"/>
    </xf>
    <xf numFmtId="167" fontId="13" fillId="0" borderId="1" xfId="1" applyNumberFormat="1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top"/>
    </xf>
    <xf numFmtId="0" fontId="42" fillId="0" borderId="0" xfId="0" applyFont="1" applyFill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14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top"/>
    </xf>
    <xf numFmtId="0" fontId="47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007E39"/>
      <color rgb="FF0000CC"/>
      <color rgb="FF3333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50</xdr:row>
      <xdr:rowOff>133350</xdr:rowOff>
    </xdr:from>
    <xdr:to>
      <xdr:col>4</xdr:col>
      <xdr:colOff>371475</xdr:colOff>
      <xdr:row>51</xdr:row>
      <xdr:rowOff>19050</xdr:rowOff>
    </xdr:to>
    <xdr:cxnSp macro="">
      <xdr:nvCxnSpPr>
        <xdr:cNvPr id="3" name="Straight Arrow Connector 2"/>
        <xdr:cNvCxnSpPr/>
      </xdr:nvCxnSpPr>
      <xdr:spPr>
        <a:xfrm flipV="1">
          <a:off x="5000625" y="1351597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1076325</xdr:colOff>
      <xdr:row>50</xdr:row>
      <xdr:rowOff>161925</xdr:rowOff>
    </xdr:from>
    <xdr:to>
      <xdr:col>5</xdr:col>
      <xdr:colOff>333375</xdr:colOff>
      <xdr:row>51</xdr:row>
      <xdr:rowOff>47625</xdr:rowOff>
    </xdr:to>
    <xdr:cxnSp macro="">
      <xdr:nvCxnSpPr>
        <xdr:cNvPr id="4" name="Straight Arrow Connector 3"/>
        <xdr:cNvCxnSpPr/>
      </xdr:nvCxnSpPr>
      <xdr:spPr>
        <a:xfrm flipV="1">
          <a:off x="6096000" y="13544550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180975</xdr:rowOff>
    </xdr:from>
    <xdr:to>
      <xdr:col>6</xdr:col>
      <xdr:colOff>390525</xdr:colOff>
      <xdr:row>51</xdr:row>
      <xdr:rowOff>66675</xdr:rowOff>
    </xdr:to>
    <xdr:cxnSp macro="">
      <xdr:nvCxnSpPr>
        <xdr:cNvPr id="5" name="Straight Arrow Connector 4"/>
        <xdr:cNvCxnSpPr/>
      </xdr:nvCxnSpPr>
      <xdr:spPr>
        <a:xfrm flipV="1">
          <a:off x="7239000" y="13563600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1028700</xdr:colOff>
      <xdr:row>50</xdr:row>
      <xdr:rowOff>190500</xdr:rowOff>
    </xdr:from>
    <xdr:to>
      <xdr:col>7</xdr:col>
      <xdr:colOff>314325</xdr:colOff>
      <xdr:row>51</xdr:row>
      <xdr:rowOff>76200</xdr:rowOff>
    </xdr:to>
    <xdr:cxnSp macro="">
      <xdr:nvCxnSpPr>
        <xdr:cNvPr id="6" name="Straight Arrow Connector 5"/>
        <xdr:cNvCxnSpPr/>
      </xdr:nvCxnSpPr>
      <xdr:spPr>
        <a:xfrm flipV="1">
          <a:off x="8267700" y="1357312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1028700</xdr:colOff>
      <xdr:row>50</xdr:row>
      <xdr:rowOff>190500</xdr:rowOff>
    </xdr:from>
    <xdr:to>
      <xdr:col>8</xdr:col>
      <xdr:colOff>314325</xdr:colOff>
      <xdr:row>51</xdr:row>
      <xdr:rowOff>76200</xdr:rowOff>
    </xdr:to>
    <xdr:cxnSp macro="">
      <xdr:nvCxnSpPr>
        <xdr:cNvPr id="7" name="Straight Arrow Connector 6"/>
        <xdr:cNvCxnSpPr/>
      </xdr:nvCxnSpPr>
      <xdr:spPr>
        <a:xfrm flipV="1">
          <a:off x="8267700" y="1357312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76200</xdr:rowOff>
    </xdr:from>
    <xdr:to>
      <xdr:col>7</xdr:col>
      <xdr:colOff>847725</xdr:colOff>
      <xdr:row>17</xdr:row>
      <xdr:rowOff>95250</xdr:rowOff>
    </xdr:to>
    <xdr:cxnSp macro="">
      <xdr:nvCxnSpPr>
        <xdr:cNvPr id="2" name="Straight Arrow Connector 1"/>
        <xdr:cNvCxnSpPr/>
      </xdr:nvCxnSpPr>
      <xdr:spPr>
        <a:xfrm>
          <a:off x="7629525" y="3095625"/>
          <a:ext cx="210502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5</xdr:row>
      <xdr:rowOff>133349</xdr:rowOff>
    </xdr:from>
    <xdr:to>
      <xdr:col>5</xdr:col>
      <xdr:colOff>1152526</xdr:colOff>
      <xdr:row>13</xdr:row>
      <xdr:rowOff>142874</xdr:rowOff>
    </xdr:to>
    <xdr:cxnSp macro="">
      <xdr:nvCxnSpPr>
        <xdr:cNvPr id="3" name="Straight Arrow Connector 2"/>
        <xdr:cNvCxnSpPr/>
      </xdr:nvCxnSpPr>
      <xdr:spPr>
        <a:xfrm rot="10800000" flipV="1">
          <a:off x="5648326" y="1209674"/>
          <a:ext cx="1971675" cy="1304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9527</xdr:colOff>
      <xdr:row>25</xdr:row>
      <xdr:rowOff>76200</xdr:rowOff>
    </xdr:from>
    <xdr:to>
      <xdr:col>6</xdr:col>
      <xdr:colOff>1238250</xdr:colOff>
      <xdr:row>25</xdr:row>
      <xdr:rowOff>95251</xdr:rowOff>
    </xdr:to>
    <xdr:cxnSp macro="">
      <xdr:nvCxnSpPr>
        <xdr:cNvPr id="4" name="Straight Arrow Connector 3"/>
        <xdr:cNvCxnSpPr/>
      </xdr:nvCxnSpPr>
      <xdr:spPr>
        <a:xfrm rot="10800000">
          <a:off x="5648327" y="4391025"/>
          <a:ext cx="3219448" cy="190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ir/INFOMATIONS%202013/Check%20EOT%20for%20%205.2013/TB%205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ir/INFOMATIONS%202013/Check%20EOT%20for%20%205.2013/TB%20P&amp;L%20from%20Jan%20to%20May%2020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76">
          <cell r="H76">
            <v>3799879255.0900002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94">
          <cell r="F94">
            <v>861099946.25999928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opLeftCell="C13" workbookViewId="0">
      <selection activeCell="H27" sqref="H27"/>
    </sheetView>
  </sheetViews>
  <sheetFormatPr defaultColWidth="36.625" defaultRowHeight="21"/>
  <cols>
    <col min="1" max="1" width="5.75" style="141" customWidth="1"/>
    <col min="2" max="2" width="65.5" style="2" customWidth="1"/>
    <col min="3" max="3" width="9.5" style="2" customWidth="1"/>
    <col min="4" max="4" width="13.625" style="25" customWidth="1"/>
    <col min="5" max="5" width="13.125" style="2" customWidth="1"/>
    <col min="6" max="6" width="0.625" style="2" customWidth="1"/>
    <col min="7" max="7" width="5.75" style="141" customWidth="1"/>
    <col min="8" max="8" width="60.125" style="2" customWidth="1"/>
    <col min="9" max="9" width="7.125" style="2" customWidth="1"/>
    <col min="10" max="10" width="13.625" style="25" customWidth="1"/>
    <col min="11" max="11" width="13.125" style="2" customWidth="1"/>
    <col min="12" max="16384" width="36.625" style="2"/>
  </cols>
  <sheetData>
    <row r="1" spans="1:11">
      <c r="A1" s="1" t="s">
        <v>0</v>
      </c>
      <c r="G1" s="1" t="s">
        <v>547</v>
      </c>
    </row>
    <row r="2" spans="1:11">
      <c r="A2" s="1" t="s">
        <v>1</v>
      </c>
      <c r="G2" s="1" t="s">
        <v>548</v>
      </c>
    </row>
    <row r="3" spans="1:11">
      <c r="A3" s="1" t="s">
        <v>2</v>
      </c>
      <c r="G3" s="1" t="s">
        <v>549</v>
      </c>
    </row>
    <row r="4" spans="1:11" ht="23.25">
      <c r="B4" s="426" t="s">
        <v>3</v>
      </c>
      <c r="C4" s="426"/>
      <c r="D4" s="426"/>
      <c r="E4" s="426"/>
      <c r="H4" s="427" t="s">
        <v>550</v>
      </c>
      <c r="I4" s="428"/>
      <c r="J4" s="428"/>
      <c r="K4" s="428"/>
    </row>
    <row r="5" spans="1:11">
      <c r="B5" s="429" t="s">
        <v>57</v>
      </c>
      <c r="C5" s="429"/>
      <c r="D5" s="429"/>
      <c r="E5" s="429"/>
      <c r="H5" s="429" t="s">
        <v>551</v>
      </c>
      <c r="I5" s="429"/>
      <c r="J5" s="429"/>
      <c r="K5" s="429"/>
    </row>
    <row r="6" spans="1:11">
      <c r="A6" s="3"/>
      <c r="B6" s="430" t="s">
        <v>4</v>
      </c>
      <c r="C6" s="430"/>
      <c r="D6" s="430"/>
      <c r="E6" s="430"/>
      <c r="G6" s="3"/>
      <c r="H6" s="430" t="s">
        <v>552</v>
      </c>
      <c r="I6" s="430"/>
      <c r="J6" s="430"/>
      <c r="K6" s="430"/>
    </row>
    <row r="7" spans="1:11" s="4" customFormat="1">
      <c r="A7" s="437" t="s">
        <v>5</v>
      </c>
      <c r="B7" s="431" t="s">
        <v>11</v>
      </c>
      <c r="C7" s="431" t="s">
        <v>6</v>
      </c>
      <c r="D7" s="433" t="s">
        <v>7</v>
      </c>
      <c r="E7" s="433"/>
      <c r="G7" s="437" t="s">
        <v>553</v>
      </c>
      <c r="H7" s="431" t="s">
        <v>554</v>
      </c>
      <c r="I7" s="431" t="s">
        <v>555</v>
      </c>
      <c r="J7" s="433" t="s">
        <v>556</v>
      </c>
      <c r="K7" s="433"/>
    </row>
    <row r="8" spans="1:11" s="4" customFormat="1">
      <c r="A8" s="437"/>
      <c r="B8" s="432"/>
      <c r="C8" s="432"/>
      <c r="D8" s="38" t="s">
        <v>58</v>
      </c>
      <c r="E8" s="143" t="s">
        <v>59</v>
      </c>
      <c r="G8" s="437"/>
      <c r="H8" s="432"/>
      <c r="I8" s="432"/>
      <c r="J8" s="38" t="s">
        <v>557</v>
      </c>
      <c r="K8" s="143" t="s">
        <v>558</v>
      </c>
    </row>
    <row r="9" spans="1:11" s="7" customFormat="1">
      <c r="A9" s="5" t="s">
        <v>8</v>
      </c>
      <c r="B9" s="6" t="s">
        <v>9</v>
      </c>
      <c r="C9" s="6"/>
      <c r="D9" s="87"/>
      <c r="E9" s="87"/>
      <c r="G9" s="5" t="s">
        <v>8</v>
      </c>
      <c r="H9" s="159" t="s">
        <v>559</v>
      </c>
      <c r="I9" s="6"/>
      <c r="J9" s="87"/>
      <c r="K9" s="87"/>
    </row>
    <row r="10" spans="1:11">
      <c r="A10" s="8"/>
      <c r="B10" s="9" t="s">
        <v>14</v>
      </c>
      <c r="C10" s="9"/>
      <c r="D10" s="24">
        <v>0</v>
      </c>
      <c r="E10" s="24">
        <v>0</v>
      </c>
      <c r="G10" s="8"/>
      <c r="H10" s="9" t="s">
        <v>560</v>
      </c>
      <c r="I10" s="9"/>
      <c r="J10" s="24">
        <v>0</v>
      </c>
      <c r="K10" s="24">
        <v>0</v>
      </c>
    </row>
    <row r="11" spans="1:11">
      <c r="A11" s="8"/>
      <c r="B11" s="11" t="s">
        <v>15</v>
      </c>
      <c r="C11" s="10"/>
      <c r="D11" s="26">
        <f>+D12+D13+D14+D15+D16+D17</f>
        <v>0</v>
      </c>
      <c r="E11" s="26">
        <f>+E12+E13+E14+E15+E16+E17</f>
        <v>0</v>
      </c>
      <c r="G11" s="8"/>
      <c r="H11" s="11" t="s">
        <v>561</v>
      </c>
      <c r="I11" s="10"/>
      <c r="J11" s="26">
        <f>+J12+J13+J14+J15+J16+J17</f>
        <v>0</v>
      </c>
      <c r="K11" s="26">
        <f>+K12+K13+K14+K15+K16+K17</f>
        <v>0</v>
      </c>
    </row>
    <row r="12" spans="1:11">
      <c r="A12" s="8"/>
      <c r="B12" s="11" t="s">
        <v>16</v>
      </c>
      <c r="C12" s="11"/>
      <c r="D12" s="24">
        <v>0</v>
      </c>
      <c r="E12" s="24">
        <v>0</v>
      </c>
      <c r="G12" s="8"/>
      <c r="H12" s="11" t="s">
        <v>562</v>
      </c>
      <c r="I12" s="11"/>
      <c r="J12" s="24">
        <v>0</v>
      </c>
      <c r="K12" s="24">
        <v>0</v>
      </c>
    </row>
    <row r="13" spans="1:11">
      <c r="A13" s="8"/>
      <c r="B13" s="11" t="s">
        <v>17</v>
      </c>
      <c r="C13" s="11"/>
      <c r="D13" s="24">
        <v>0</v>
      </c>
      <c r="E13" s="24">
        <v>0</v>
      </c>
      <c r="G13" s="8"/>
      <c r="H13" s="11" t="s">
        <v>563</v>
      </c>
      <c r="I13" s="11"/>
      <c r="J13" s="24">
        <v>0</v>
      </c>
      <c r="K13" s="24">
        <v>0</v>
      </c>
    </row>
    <row r="14" spans="1:11">
      <c r="A14" s="8"/>
      <c r="B14" s="11" t="s">
        <v>18</v>
      </c>
      <c r="C14" s="11"/>
      <c r="D14" s="24">
        <v>0</v>
      </c>
      <c r="E14" s="24">
        <v>0</v>
      </c>
      <c r="F14" s="17"/>
      <c r="G14" s="8"/>
      <c r="H14" s="11" t="s">
        <v>564</v>
      </c>
      <c r="I14" s="11"/>
      <c r="J14" s="24">
        <v>0</v>
      </c>
      <c r="K14" s="24">
        <v>0</v>
      </c>
    </row>
    <row r="15" spans="1:11">
      <c r="A15" s="8"/>
      <c r="B15" s="11" t="s">
        <v>19</v>
      </c>
      <c r="C15" s="31"/>
      <c r="D15" s="24">
        <v>0</v>
      </c>
      <c r="E15" s="24">
        <v>0</v>
      </c>
      <c r="G15" s="8"/>
      <c r="H15" s="11" t="s">
        <v>565</v>
      </c>
      <c r="I15" s="31"/>
      <c r="J15" s="24">
        <v>0</v>
      </c>
      <c r="K15" s="24">
        <v>0</v>
      </c>
    </row>
    <row r="16" spans="1:11">
      <c r="A16" s="8"/>
      <c r="B16" s="11" t="s">
        <v>20</v>
      </c>
      <c r="C16" s="31"/>
      <c r="D16" s="24">
        <v>0</v>
      </c>
      <c r="E16" s="24">
        <v>0</v>
      </c>
      <c r="G16" s="8"/>
      <c r="H16" s="11" t="s">
        <v>566</v>
      </c>
      <c r="I16" s="31"/>
      <c r="J16" s="24">
        <v>0</v>
      </c>
      <c r="K16" s="24">
        <v>0</v>
      </c>
    </row>
    <row r="17" spans="1:11">
      <c r="A17" s="8"/>
      <c r="B17" s="11" t="s">
        <v>21</v>
      </c>
      <c r="C17" s="31"/>
      <c r="D17" s="24">
        <v>0</v>
      </c>
      <c r="E17" s="24">
        <v>0</v>
      </c>
      <c r="G17" s="8"/>
      <c r="H17" s="11" t="s">
        <v>567</v>
      </c>
      <c r="I17" s="31"/>
      <c r="J17" s="24">
        <v>0</v>
      </c>
      <c r="K17" s="24">
        <v>0</v>
      </c>
    </row>
    <row r="18" spans="1:11" ht="18.75" customHeight="1">
      <c r="A18" s="8"/>
      <c r="B18" s="88" t="s">
        <v>31</v>
      </c>
      <c r="C18" s="89"/>
      <c r="D18" s="90">
        <f>+D10+D11</f>
        <v>0</v>
      </c>
      <c r="E18" s="90">
        <f>+E10+E11</f>
        <v>0</v>
      </c>
      <c r="G18" s="8"/>
      <c r="H18" s="88" t="s">
        <v>568</v>
      </c>
      <c r="I18" s="89"/>
      <c r="J18" s="90">
        <f>+J10+J11</f>
        <v>0</v>
      </c>
      <c r="K18" s="90">
        <f>+K10+K11</f>
        <v>0</v>
      </c>
    </row>
    <row r="19" spans="1:11">
      <c r="A19" s="8"/>
      <c r="B19" s="16" t="s">
        <v>30</v>
      </c>
      <c r="C19" s="31"/>
      <c r="D19" s="24">
        <f>+D20+D21+D22+D23+D24+D25+D26+D27</f>
        <v>0</v>
      </c>
      <c r="E19" s="24">
        <f>+E20+E21+E22+E23+E24+E25+E26+E27</f>
        <v>0</v>
      </c>
      <c r="G19" s="8"/>
      <c r="H19" s="16" t="s">
        <v>569</v>
      </c>
      <c r="I19" s="31"/>
      <c r="J19" s="24">
        <f>+J20+J21+J22+J23+J24+J25+J26+J27</f>
        <v>0</v>
      </c>
      <c r="K19" s="24">
        <f>+K20+K21+K22+K23+K24+K25+K26+K27</f>
        <v>0</v>
      </c>
    </row>
    <row r="20" spans="1:11">
      <c r="A20" s="8"/>
      <c r="B20" s="15" t="s">
        <v>22</v>
      </c>
      <c r="C20" s="31"/>
      <c r="D20" s="24">
        <v>0</v>
      </c>
      <c r="E20" s="24">
        <v>0</v>
      </c>
      <c r="G20" s="8"/>
      <c r="H20" s="15" t="s">
        <v>570</v>
      </c>
      <c r="I20" s="31"/>
      <c r="J20" s="24">
        <v>0</v>
      </c>
      <c r="K20" s="24">
        <v>0</v>
      </c>
    </row>
    <row r="21" spans="1:11">
      <c r="A21" s="8"/>
      <c r="B21" s="15" t="s">
        <v>23</v>
      </c>
      <c r="C21" s="31"/>
      <c r="D21" s="24">
        <v>0</v>
      </c>
      <c r="E21" s="24">
        <v>0</v>
      </c>
      <c r="G21" s="8"/>
      <c r="H21" s="15" t="s">
        <v>571</v>
      </c>
      <c r="I21" s="31"/>
      <c r="J21" s="24">
        <v>0</v>
      </c>
      <c r="K21" s="24">
        <v>0</v>
      </c>
    </row>
    <row r="22" spans="1:11">
      <c r="A22" s="8"/>
      <c r="B22" s="15" t="s">
        <v>24</v>
      </c>
      <c r="C22" s="31"/>
      <c r="D22" s="24">
        <v>0</v>
      </c>
      <c r="E22" s="24">
        <v>0</v>
      </c>
      <c r="G22" s="8"/>
      <c r="H22" s="15" t="s">
        <v>572</v>
      </c>
      <c r="I22" s="31"/>
      <c r="J22" s="24">
        <v>0</v>
      </c>
      <c r="K22" s="24">
        <v>0</v>
      </c>
    </row>
    <row r="23" spans="1:11">
      <c r="A23" s="8"/>
      <c r="B23" s="15" t="s">
        <v>25</v>
      </c>
      <c r="C23" s="31"/>
      <c r="D23" s="24">
        <v>0</v>
      </c>
      <c r="E23" s="24">
        <v>0</v>
      </c>
      <c r="G23" s="8"/>
      <c r="H23" s="15" t="s">
        <v>573</v>
      </c>
      <c r="I23" s="31"/>
      <c r="J23" s="24">
        <v>0</v>
      </c>
      <c r="K23" s="24">
        <v>0</v>
      </c>
    </row>
    <row r="24" spans="1:11">
      <c r="A24" s="8"/>
      <c r="B24" s="15" t="s">
        <v>26</v>
      </c>
      <c r="C24" s="31"/>
      <c r="D24" s="24">
        <v>0</v>
      </c>
      <c r="E24" s="24">
        <v>0</v>
      </c>
      <c r="G24" s="8"/>
      <c r="H24" s="15" t="s">
        <v>574</v>
      </c>
      <c r="I24" s="31"/>
      <c r="J24" s="24">
        <v>0</v>
      </c>
      <c r="K24" s="24">
        <v>0</v>
      </c>
    </row>
    <row r="25" spans="1:11">
      <c r="A25" s="8"/>
      <c r="B25" s="15" t="s">
        <v>27</v>
      </c>
      <c r="C25" s="11"/>
      <c r="D25" s="24">
        <v>0</v>
      </c>
      <c r="E25" s="24">
        <v>0</v>
      </c>
      <c r="G25" s="8"/>
      <c r="H25" s="15" t="s">
        <v>575</v>
      </c>
      <c r="I25" s="11"/>
      <c r="J25" s="24">
        <v>0</v>
      </c>
      <c r="K25" s="24">
        <v>0</v>
      </c>
    </row>
    <row r="26" spans="1:11">
      <c r="A26" s="8"/>
      <c r="B26" s="15" t="s">
        <v>28</v>
      </c>
      <c r="C26" s="11"/>
      <c r="D26" s="24">
        <v>0</v>
      </c>
      <c r="E26" s="24">
        <v>0</v>
      </c>
      <c r="G26" s="8"/>
      <c r="H26" s="15" t="s">
        <v>576</v>
      </c>
      <c r="I26" s="11"/>
      <c r="J26" s="24">
        <v>0</v>
      </c>
      <c r="K26" s="24">
        <v>0</v>
      </c>
    </row>
    <row r="27" spans="1:11">
      <c r="A27" s="8"/>
      <c r="B27" s="15" t="s">
        <v>29</v>
      </c>
      <c r="C27" s="11"/>
      <c r="D27" s="24">
        <v>0</v>
      </c>
      <c r="E27" s="24">
        <v>0</v>
      </c>
      <c r="G27" s="8"/>
      <c r="H27" s="15" t="s">
        <v>577</v>
      </c>
      <c r="I27" s="11"/>
      <c r="J27" s="24">
        <v>0</v>
      </c>
      <c r="K27" s="24">
        <v>0</v>
      </c>
    </row>
    <row r="28" spans="1:11">
      <c r="A28" s="36"/>
      <c r="B28" s="91" t="s">
        <v>32</v>
      </c>
      <c r="C28" s="10"/>
      <c r="D28" s="32">
        <f>+D19</f>
        <v>0</v>
      </c>
      <c r="E28" s="26">
        <f>+E19</f>
        <v>0</v>
      </c>
      <c r="G28" s="36"/>
      <c r="H28" s="91" t="s">
        <v>578</v>
      </c>
      <c r="I28" s="10"/>
      <c r="J28" s="32">
        <f>+J19</f>
        <v>0</v>
      </c>
      <c r="K28" s="26">
        <f>+K19</f>
        <v>0</v>
      </c>
    </row>
    <row r="29" spans="1:11">
      <c r="A29" s="36"/>
      <c r="B29" s="16" t="s">
        <v>33</v>
      </c>
      <c r="C29" s="31"/>
      <c r="D29" s="24">
        <f>+D30+D31+D32+D33+D34+D35</f>
        <v>0</v>
      </c>
      <c r="E29" s="24">
        <f>+E30+E31+E32+E33+E34+E35</f>
        <v>0</v>
      </c>
      <c r="G29" s="36"/>
      <c r="H29" s="16" t="s">
        <v>579</v>
      </c>
      <c r="I29" s="31"/>
      <c r="J29" s="24">
        <f>+J30+J31+J32+J33+J34+J35</f>
        <v>0</v>
      </c>
      <c r="K29" s="24">
        <f>+K30+K31+K32+K33+K34+K35</f>
        <v>0</v>
      </c>
    </row>
    <row r="30" spans="1:11">
      <c r="A30" s="8"/>
      <c r="B30" s="16" t="s">
        <v>34</v>
      </c>
      <c r="C30" s="31"/>
      <c r="D30" s="24">
        <v>0</v>
      </c>
      <c r="E30" s="24">
        <v>0</v>
      </c>
      <c r="F30" s="58"/>
      <c r="G30" s="8"/>
      <c r="H30" s="16" t="s">
        <v>580</v>
      </c>
      <c r="I30" s="31"/>
      <c r="J30" s="24">
        <v>0</v>
      </c>
      <c r="K30" s="24">
        <v>0</v>
      </c>
    </row>
    <row r="31" spans="1:11">
      <c r="A31" s="8"/>
      <c r="B31" s="16" t="s">
        <v>35</v>
      </c>
      <c r="C31" s="31"/>
      <c r="D31" s="24">
        <v>0</v>
      </c>
      <c r="E31" s="24">
        <v>0</v>
      </c>
      <c r="F31" s="23"/>
      <c r="G31" s="8"/>
      <c r="H31" s="16" t="s">
        <v>581</v>
      </c>
      <c r="I31" s="31"/>
      <c r="J31" s="24">
        <v>0</v>
      </c>
      <c r="K31" s="24">
        <v>0</v>
      </c>
    </row>
    <row r="32" spans="1:11">
      <c r="A32" s="8"/>
      <c r="B32" s="11" t="s">
        <v>106</v>
      </c>
      <c r="C32" s="31"/>
      <c r="D32" s="24">
        <v>0</v>
      </c>
      <c r="E32" s="24">
        <v>0</v>
      </c>
      <c r="G32" s="8"/>
      <c r="H32" s="11" t="s">
        <v>582</v>
      </c>
      <c r="I32" s="31"/>
      <c r="J32" s="24">
        <v>0</v>
      </c>
      <c r="K32" s="24">
        <v>0</v>
      </c>
    </row>
    <row r="33" spans="1:11">
      <c r="A33" s="8"/>
      <c r="B33" s="11" t="s">
        <v>107</v>
      </c>
      <c r="C33" s="11"/>
      <c r="D33" s="24">
        <v>0</v>
      </c>
      <c r="E33" s="24">
        <v>0</v>
      </c>
      <c r="G33" s="8"/>
      <c r="H33" s="11" t="s">
        <v>583</v>
      </c>
      <c r="I33" s="11"/>
      <c r="J33" s="24">
        <v>0</v>
      </c>
      <c r="K33" s="24">
        <v>0</v>
      </c>
    </row>
    <row r="34" spans="1:11">
      <c r="A34" s="8"/>
      <c r="B34" s="11" t="s">
        <v>108</v>
      </c>
      <c r="C34" s="11"/>
      <c r="D34" s="24">
        <v>0</v>
      </c>
      <c r="E34" s="24">
        <v>0</v>
      </c>
      <c r="G34" s="8"/>
      <c r="H34" s="11" t="s">
        <v>584</v>
      </c>
      <c r="I34" s="11"/>
      <c r="J34" s="24">
        <v>0</v>
      </c>
      <c r="K34" s="24">
        <v>0</v>
      </c>
    </row>
    <row r="35" spans="1:11">
      <c r="A35" s="8"/>
      <c r="B35" s="11" t="s">
        <v>109</v>
      </c>
      <c r="C35" s="11"/>
      <c r="D35" s="24">
        <v>0</v>
      </c>
      <c r="E35" s="24">
        <v>0</v>
      </c>
      <c r="G35" s="8"/>
      <c r="H35" s="11" t="s">
        <v>585</v>
      </c>
      <c r="I35" s="11"/>
      <c r="J35" s="24">
        <v>0</v>
      </c>
      <c r="K35" s="24">
        <v>0</v>
      </c>
    </row>
    <row r="36" spans="1:11">
      <c r="A36" s="36"/>
      <c r="B36" s="93" t="s">
        <v>40</v>
      </c>
      <c r="C36" s="12"/>
      <c r="D36" s="92">
        <f>+D29</f>
        <v>0</v>
      </c>
      <c r="E36" s="92">
        <f>+E29</f>
        <v>0</v>
      </c>
      <c r="G36" s="36"/>
      <c r="H36" s="93" t="s">
        <v>586</v>
      </c>
      <c r="I36" s="12"/>
      <c r="J36" s="92">
        <f>+J29</f>
        <v>0</v>
      </c>
      <c r="K36" s="92">
        <f>+K29</f>
        <v>0</v>
      </c>
    </row>
    <row r="37" spans="1:11">
      <c r="A37" s="8"/>
      <c r="B37" s="95" t="s">
        <v>41</v>
      </c>
      <c r="C37" s="9"/>
      <c r="D37" s="27">
        <f>+D18+D28+D36</f>
        <v>0</v>
      </c>
      <c r="E37" s="27">
        <f>+E18+E28+E36</f>
        <v>0</v>
      </c>
      <c r="G37" s="8"/>
      <c r="H37" s="95" t="s">
        <v>587</v>
      </c>
      <c r="I37" s="9"/>
      <c r="J37" s="27">
        <f>+J18+J28+J36</f>
        <v>0</v>
      </c>
      <c r="K37" s="27">
        <f>+K18+K28+K36</f>
        <v>0</v>
      </c>
    </row>
    <row r="38" spans="1:11">
      <c r="A38" s="8" t="s">
        <v>42</v>
      </c>
      <c r="B38" s="94" t="s">
        <v>43</v>
      </c>
      <c r="C38" s="9"/>
      <c r="D38" s="160"/>
      <c r="E38" s="13"/>
      <c r="G38" s="8" t="s">
        <v>42</v>
      </c>
      <c r="H38" s="94" t="s">
        <v>588</v>
      </c>
      <c r="I38" s="9"/>
      <c r="J38" s="160"/>
      <c r="K38" s="13"/>
    </row>
    <row r="39" spans="1:11">
      <c r="A39" s="8"/>
      <c r="B39" s="9" t="s">
        <v>45</v>
      </c>
      <c r="C39" s="12"/>
      <c r="D39" s="24">
        <v>0</v>
      </c>
      <c r="E39" s="24">
        <v>0</v>
      </c>
      <c r="G39" s="8"/>
      <c r="H39" s="9" t="s">
        <v>589</v>
      </c>
      <c r="I39" s="12"/>
      <c r="J39" s="24">
        <v>0</v>
      </c>
      <c r="K39" s="24">
        <v>0</v>
      </c>
    </row>
    <row r="40" spans="1:11">
      <c r="A40" s="8"/>
      <c r="B40" s="9" t="s">
        <v>44</v>
      </c>
      <c r="C40" s="40"/>
      <c r="D40" s="41">
        <v>0</v>
      </c>
      <c r="E40" s="41">
        <v>0</v>
      </c>
      <c r="G40" s="8"/>
      <c r="H40" s="9" t="s">
        <v>590</v>
      </c>
      <c r="I40" s="40"/>
      <c r="J40" s="41">
        <v>0</v>
      </c>
      <c r="K40" s="41">
        <v>0</v>
      </c>
    </row>
    <row r="41" spans="1:11">
      <c r="A41" s="8"/>
      <c r="B41" s="96" t="s">
        <v>46</v>
      </c>
      <c r="C41" s="39"/>
      <c r="D41" s="30">
        <v>0</v>
      </c>
      <c r="E41" s="30">
        <v>0</v>
      </c>
      <c r="G41" s="8"/>
      <c r="H41" s="96" t="s">
        <v>591</v>
      </c>
      <c r="I41" s="39"/>
      <c r="J41" s="30">
        <v>0</v>
      </c>
      <c r="K41" s="30">
        <v>0</v>
      </c>
    </row>
    <row r="42" spans="1:11">
      <c r="A42" s="8"/>
      <c r="B42" s="95" t="s">
        <v>47</v>
      </c>
      <c r="C42" s="40"/>
      <c r="D42" s="27">
        <f>+SUM(D39:D41)</f>
        <v>0</v>
      </c>
      <c r="E42" s="27">
        <f>+SUM(E39:E41)</f>
        <v>0</v>
      </c>
      <c r="G42" s="8"/>
      <c r="H42" s="95" t="s">
        <v>592</v>
      </c>
      <c r="I42" s="40"/>
      <c r="J42" s="27">
        <f>+SUM(J39:J41)</f>
        <v>0</v>
      </c>
      <c r="K42" s="27">
        <f>+SUM(K39:K41)</f>
        <v>0</v>
      </c>
    </row>
    <row r="43" spans="1:11">
      <c r="A43" s="8" t="s">
        <v>48</v>
      </c>
      <c r="B43" s="97" t="s">
        <v>49</v>
      </c>
      <c r="C43" s="37"/>
      <c r="D43" s="37"/>
      <c r="E43" s="24"/>
      <c r="G43" s="8" t="s">
        <v>48</v>
      </c>
      <c r="H43" s="97" t="s">
        <v>593</v>
      </c>
      <c r="I43" s="37"/>
      <c r="J43" s="37"/>
      <c r="K43" s="24"/>
    </row>
    <row r="44" spans="1:11">
      <c r="A44" s="8"/>
      <c r="B44" s="39" t="s">
        <v>50</v>
      </c>
      <c r="C44" s="37"/>
      <c r="D44" s="37">
        <v>0</v>
      </c>
      <c r="E44" s="24">
        <v>0</v>
      </c>
      <c r="F44" s="29"/>
      <c r="G44" s="8"/>
      <c r="H44" s="39" t="s">
        <v>594</v>
      </c>
      <c r="I44" s="37"/>
      <c r="J44" s="37">
        <v>0</v>
      </c>
      <c r="K44" s="24">
        <v>0</v>
      </c>
    </row>
    <row r="45" spans="1:11">
      <c r="A45" s="8"/>
      <c r="B45" s="39" t="s">
        <v>51</v>
      </c>
      <c r="C45" s="37"/>
      <c r="D45" s="37">
        <v>0</v>
      </c>
      <c r="E45" s="24">
        <v>0</v>
      </c>
      <c r="G45" s="8"/>
      <c r="H45" s="39" t="s">
        <v>595</v>
      </c>
      <c r="I45" s="37"/>
      <c r="J45" s="37">
        <v>0</v>
      </c>
      <c r="K45" s="24">
        <v>0</v>
      </c>
    </row>
    <row r="46" spans="1:11">
      <c r="A46" s="8"/>
      <c r="B46" s="39" t="s">
        <v>52</v>
      </c>
      <c r="C46" s="39"/>
      <c r="D46" s="37">
        <v>0</v>
      </c>
      <c r="E46" s="24">
        <v>0</v>
      </c>
      <c r="G46" s="8"/>
      <c r="H46" s="39" t="s">
        <v>596</v>
      </c>
      <c r="I46" s="39"/>
      <c r="J46" s="37">
        <v>0</v>
      </c>
      <c r="K46" s="24">
        <v>0</v>
      </c>
    </row>
    <row r="47" spans="1:11">
      <c r="A47" s="55"/>
      <c r="B47" s="98" t="s">
        <v>53</v>
      </c>
      <c r="C47" s="37"/>
      <c r="D47" s="37">
        <v>0</v>
      </c>
      <c r="E47" s="60">
        <v>0</v>
      </c>
      <c r="G47" s="55"/>
      <c r="H47" s="98" t="s">
        <v>597</v>
      </c>
      <c r="I47" s="37"/>
      <c r="J47" s="37">
        <v>0</v>
      </c>
      <c r="K47" s="60">
        <v>0</v>
      </c>
    </row>
    <row r="48" spans="1:11" s="86" customFormat="1">
      <c r="A48" s="55"/>
      <c r="B48" s="95" t="s">
        <v>55</v>
      </c>
      <c r="C48" s="32"/>
      <c r="D48" s="27">
        <f>+SUM(D44:D47)</f>
        <v>0</v>
      </c>
      <c r="E48" s="27">
        <f>+SUM(E44:E47)</f>
        <v>0</v>
      </c>
      <c r="G48" s="55"/>
      <c r="H48" s="95" t="s">
        <v>598</v>
      </c>
      <c r="I48" s="32"/>
      <c r="J48" s="27">
        <f>+SUM(J44:J47)</f>
        <v>0</v>
      </c>
      <c r="K48" s="27">
        <f>+SUM(K44:K47)</f>
        <v>0</v>
      </c>
    </row>
    <row r="49" spans="1:11" s="86" customFormat="1">
      <c r="A49" s="55" t="s">
        <v>54</v>
      </c>
      <c r="B49" s="97" t="s">
        <v>65</v>
      </c>
      <c r="C49" s="32"/>
      <c r="D49" s="32"/>
      <c r="E49" s="26"/>
      <c r="G49" s="55" t="s">
        <v>54</v>
      </c>
      <c r="H49" s="97" t="s">
        <v>599</v>
      </c>
      <c r="I49" s="32"/>
      <c r="J49" s="32"/>
      <c r="K49" s="26"/>
    </row>
    <row r="50" spans="1:11">
      <c r="A50" s="55"/>
      <c r="B50" s="39" t="s">
        <v>60</v>
      </c>
      <c r="C50" s="37"/>
      <c r="D50" s="37">
        <f>+D37+D42+D48</f>
        <v>0</v>
      </c>
      <c r="E50" s="24">
        <f>+E37+E42+E48</f>
        <v>0</v>
      </c>
      <c r="G50" s="8"/>
      <c r="H50" s="161" t="s">
        <v>600</v>
      </c>
      <c r="I50" s="37"/>
      <c r="J50" s="37">
        <f>+J37+J42+J48</f>
        <v>0</v>
      </c>
      <c r="K50" s="24">
        <f>+K37+K42+K48</f>
        <v>0</v>
      </c>
    </row>
    <row r="51" spans="1:11">
      <c r="A51" s="8"/>
      <c r="B51" s="39" t="s">
        <v>12</v>
      </c>
      <c r="C51" s="37"/>
      <c r="D51" s="37">
        <v>0</v>
      </c>
      <c r="E51" s="24">
        <v>0</v>
      </c>
      <c r="G51" s="8"/>
      <c r="H51" s="39" t="s">
        <v>601</v>
      </c>
      <c r="I51" s="37"/>
      <c r="J51" s="37">
        <v>0</v>
      </c>
      <c r="K51" s="24">
        <v>0</v>
      </c>
    </row>
    <row r="52" spans="1:11">
      <c r="A52" s="14"/>
      <c r="B52" s="99" t="s">
        <v>13</v>
      </c>
      <c r="C52" s="100"/>
      <c r="D52" s="100">
        <f>+SUM(D50:D51)</f>
        <v>0</v>
      </c>
      <c r="E52" s="101">
        <f>+SUM(E50:E51)</f>
        <v>0</v>
      </c>
      <c r="G52" s="14"/>
      <c r="H52" s="162" t="s">
        <v>602</v>
      </c>
      <c r="I52" s="100"/>
      <c r="J52" s="100">
        <f>+SUM(J50:J51)</f>
        <v>0</v>
      </c>
      <c r="K52" s="101">
        <f>+SUM(K50:K51)</f>
        <v>0</v>
      </c>
    </row>
    <row r="54" spans="1:11">
      <c r="B54" s="141"/>
      <c r="C54" s="141"/>
      <c r="D54" s="2" t="s">
        <v>603</v>
      </c>
      <c r="H54" s="141"/>
      <c r="I54" s="141"/>
      <c r="J54" s="434" t="s">
        <v>604</v>
      </c>
      <c r="K54" s="434"/>
    </row>
    <row r="55" spans="1:11">
      <c r="A55" s="435" t="s">
        <v>605</v>
      </c>
      <c r="B55" s="435"/>
      <c r="C55" s="435"/>
      <c r="D55" s="435"/>
      <c r="E55" s="435"/>
      <c r="G55" s="163" t="s">
        <v>606</v>
      </c>
      <c r="H55" s="164"/>
      <c r="I55" s="164"/>
      <c r="J55" s="436" t="s">
        <v>607</v>
      </c>
      <c r="K55" s="436"/>
    </row>
    <row r="72" spans="8:8">
      <c r="H72" s="11" t="s">
        <v>16</v>
      </c>
    </row>
    <row r="73" spans="8:8">
      <c r="H73" s="11" t="s">
        <v>17</v>
      </c>
    </row>
    <row r="74" spans="8:8">
      <c r="H74" s="11" t="s">
        <v>18</v>
      </c>
    </row>
    <row r="75" spans="8:8">
      <c r="H75" s="11" t="s">
        <v>19</v>
      </c>
    </row>
    <row r="102" spans="2:10">
      <c r="B102" s="141"/>
      <c r="C102" s="141"/>
      <c r="D102" s="28"/>
      <c r="H102" s="141"/>
      <c r="I102" s="141"/>
      <c r="J102" s="28"/>
    </row>
    <row r="141" spans="2:10">
      <c r="B141" s="141"/>
      <c r="C141" s="141"/>
      <c r="D141" s="28"/>
      <c r="H141" s="141"/>
      <c r="I141" s="141"/>
      <c r="J141" s="28"/>
    </row>
  </sheetData>
  <mergeCells count="17">
    <mergeCell ref="I7:I8"/>
    <mergeCell ref="J7:K7"/>
    <mergeCell ref="J54:K54"/>
    <mergeCell ref="A55:E55"/>
    <mergeCell ref="J55:K55"/>
    <mergeCell ref="A7:A8"/>
    <mergeCell ref="B7:B8"/>
    <mergeCell ref="C7:C8"/>
    <mergeCell ref="D7:E7"/>
    <mergeCell ref="G7:G8"/>
    <mergeCell ref="H7:H8"/>
    <mergeCell ref="B4:E4"/>
    <mergeCell ref="H4:K4"/>
    <mergeCell ref="B5:E5"/>
    <mergeCell ref="H5:K5"/>
    <mergeCell ref="B6:E6"/>
    <mergeCell ref="H6:K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E4" sqref="E4"/>
    </sheetView>
  </sheetViews>
  <sheetFormatPr defaultColWidth="36.625" defaultRowHeight="21.75" customHeight="1"/>
  <cols>
    <col min="1" max="1" width="5.75" style="141" customWidth="1"/>
    <col min="2" max="2" width="51.625" style="42" customWidth="1"/>
    <col min="3" max="3" width="7.5" style="61" customWidth="1"/>
    <col min="4" max="4" width="65.5" style="79" bestFit="1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426" t="s">
        <v>3</v>
      </c>
      <c r="C4" s="426"/>
      <c r="D4" s="426"/>
    </row>
    <row r="5" spans="1:4" ht="21">
      <c r="B5" s="429" t="s">
        <v>57</v>
      </c>
      <c r="C5" s="429"/>
      <c r="D5" s="429"/>
    </row>
    <row r="6" spans="1:4" ht="21">
      <c r="A6" s="3"/>
      <c r="B6" s="430" t="s">
        <v>4</v>
      </c>
      <c r="C6" s="430"/>
      <c r="D6" s="430"/>
    </row>
    <row r="7" spans="1:4" s="4" customFormat="1" ht="21">
      <c r="A7" s="438" t="s">
        <v>5</v>
      </c>
      <c r="B7" s="43" t="s">
        <v>11</v>
      </c>
      <c r="C7" s="73"/>
      <c r="D7" s="80"/>
    </row>
    <row r="8" spans="1:4" s="4" customFormat="1" ht="21">
      <c r="A8" s="438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65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65" t="s">
        <v>67</v>
      </c>
    </row>
    <row r="13" spans="1:4" ht="21">
      <c r="A13" s="55"/>
      <c r="B13" s="46" t="s">
        <v>17</v>
      </c>
      <c r="C13" s="62" t="s">
        <v>66</v>
      </c>
      <c r="D13" s="166" t="s">
        <v>104</v>
      </c>
    </row>
    <row r="14" spans="1:4" ht="21">
      <c r="A14" s="55"/>
      <c r="B14" s="46"/>
      <c r="C14" s="62"/>
      <c r="D14" s="167" t="s">
        <v>82</v>
      </c>
    </row>
    <row r="15" spans="1:4" ht="21">
      <c r="A15" s="55"/>
      <c r="B15" s="46"/>
      <c r="C15" s="62"/>
      <c r="D15" s="167" t="s">
        <v>83</v>
      </c>
    </row>
    <row r="16" spans="1:4" ht="21">
      <c r="A16" s="55"/>
      <c r="B16" s="46"/>
      <c r="C16" s="62"/>
      <c r="D16" s="167" t="s">
        <v>84</v>
      </c>
    </row>
    <row r="17" spans="1:5" ht="21">
      <c r="A17" s="55"/>
      <c r="B17" s="46"/>
      <c r="C17" s="62"/>
      <c r="D17" s="167" t="s">
        <v>85</v>
      </c>
    </row>
    <row r="18" spans="1:5" ht="21">
      <c r="A18" s="8"/>
      <c r="B18" s="46" t="s">
        <v>18</v>
      </c>
      <c r="C18" s="62" t="s">
        <v>63</v>
      </c>
      <c r="D18" s="168" t="s">
        <v>68</v>
      </c>
      <c r="E18" s="17"/>
    </row>
    <row r="19" spans="1:5" ht="21">
      <c r="A19" s="8"/>
      <c r="B19" s="46" t="s">
        <v>19</v>
      </c>
      <c r="C19" s="62" t="s">
        <v>64</v>
      </c>
      <c r="D19" s="168" t="s">
        <v>69</v>
      </c>
    </row>
    <row r="20" spans="1:5" ht="21">
      <c r="A20" s="8"/>
      <c r="B20" s="46" t="s">
        <v>20</v>
      </c>
      <c r="C20" s="66"/>
      <c r="D20" s="146" t="s">
        <v>608</v>
      </c>
      <c r="E20" s="2" t="s">
        <v>609</v>
      </c>
    </row>
    <row r="21" spans="1:5" ht="21">
      <c r="A21" s="8"/>
      <c r="B21" s="46" t="s">
        <v>21</v>
      </c>
      <c r="C21" s="78"/>
      <c r="D21" s="146" t="s">
        <v>608</v>
      </c>
      <c r="E21" s="2" t="s">
        <v>609</v>
      </c>
    </row>
    <row r="22" spans="1:5" ht="21">
      <c r="A22" s="8"/>
      <c r="B22" s="439" t="s">
        <v>31</v>
      </c>
      <c r="C22" s="62"/>
      <c r="D22" s="19" t="s">
        <v>610</v>
      </c>
    </row>
    <row r="23" spans="1:5" ht="21">
      <c r="A23" s="8"/>
      <c r="B23" s="440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142" t="s">
        <v>22</v>
      </c>
      <c r="C25" s="62" t="s">
        <v>70</v>
      </c>
      <c r="D25" s="46" t="s">
        <v>71</v>
      </c>
    </row>
    <row r="26" spans="1:5" ht="21">
      <c r="A26" s="8"/>
      <c r="B26" s="142" t="s">
        <v>23</v>
      </c>
      <c r="C26" s="62" t="s">
        <v>70</v>
      </c>
      <c r="D26" s="46" t="s">
        <v>86</v>
      </c>
    </row>
    <row r="27" spans="1:5" ht="21">
      <c r="A27" s="8"/>
      <c r="B27" s="142" t="s">
        <v>24</v>
      </c>
      <c r="C27" s="62" t="s">
        <v>70</v>
      </c>
      <c r="D27" s="46" t="s">
        <v>72</v>
      </c>
    </row>
    <row r="28" spans="1:5" ht="21">
      <c r="A28" s="8"/>
      <c r="B28" s="142" t="s">
        <v>25</v>
      </c>
      <c r="C28" s="62" t="s">
        <v>70</v>
      </c>
      <c r="D28" s="46" t="s">
        <v>73</v>
      </c>
    </row>
    <row r="29" spans="1:5" ht="21">
      <c r="A29" s="8"/>
      <c r="B29" s="142" t="s">
        <v>26</v>
      </c>
      <c r="C29" s="62" t="s">
        <v>70</v>
      </c>
      <c r="D29" s="46" t="s">
        <v>74</v>
      </c>
    </row>
    <row r="30" spans="1:5" ht="21">
      <c r="A30" s="8"/>
      <c r="B30" s="142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142" t="s">
        <v>28</v>
      </c>
      <c r="C33" s="62" t="s">
        <v>70</v>
      </c>
      <c r="D33" s="46" t="s">
        <v>75</v>
      </c>
    </row>
    <row r="34" spans="1:7" ht="21">
      <c r="A34" s="8"/>
      <c r="B34" s="142" t="s">
        <v>29</v>
      </c>
      <c r="C34" s="62" t="s">
        <v>70</v>
      </c>
      <c r="D34" s="46" t="s">
        <v>102</v>
      </c>
    </row>
    <row r="35" spans="1:7" ht="21">
      <c r="A35" s="36"/>
      <c r="B35" s="142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140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435" t="s">
        <v>10</v>
      </c>
      <c r="B70" s="435"/>
      <c r="C70" s="435"/>
      <c r="D70" s="435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6"/>
  <sheetViews>
    <sheetView topLeftCell="A61" workbookViewId="0">
      <selection activeCell="D83" sqref="D83"/>
    </sheetView>
  </sheetViews>
  <sheetFormatPr defaultColWidth="36.625" defaultRowHeight="21.75" customHeight="1"/>
  <cols>
    <col min="1" max="1" width="5.75" style="57" customWidth="1"/>
    <col min="2" max="2" width="51.625" style="42" customWidth="1"/>
    <col min="3" max="3" width="7.5" style="61" customWidth="1"/>
    <col min="4" max="4" width="69.75" style="79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426" t="s">
        <v>3</v>
      </c>
      <c r="C4" s="426"/>
      <c r="D4" s="426"/>
    </row>
    <row r="5" spans="1:4" ht="21">
      <c r="B5" s="429" t="s">
        <v>57</v>
      </c>
      <c r="C5" s="429"/>
      <c r="D5" s="429"/>
    </row>
    <row r="6" spans="1:4" ht="21">
      <c r="A6" s="3"/>
      <c r="B6" s="430" t="s">
        <v>4</v>
      </c>
      <c r="C6" s="430"/>
      <c r="D6" s="430"/>
    </row>
    <row r="7" spans="1:4" s="4" customFormat="1" ht="21">
      <c r="A7" s="438" t="s">
        <v>5</v>
      </c>
      <c r="B7" s="43" t="s">
        <v>11</v>
      </c>
      <c r="C7" s="73"/>
      <c r="D7" s="80"/>
    </row>
    <row r="8" spans="1:4" s="4" customFormat="1" ht="21">
      <c r="A8" s="438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9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9" t="s">
        <v>67</v>
      </c>
    </row>
    <row r="13" spans="1:4" ht="21">
      <c r="A13" s="55"/>
      <c r="B13" s="46" t="s">
        <v>17</v>
      </c>
      <c r="C13" s="62" t="s">
        <v>66</v>
      </c>
      <c r="D13" s="19" t="s">
        <v>104</v>
      </c>
    </row>
    <row r="14" spans="1:4" ht="21">
      <c r="A14" s="55"/>
      <c r="B14" s="46"/>
      <c r="C14" s="62"/>
      <c r="D14" s="46" t="s">
        <v>82</v>
      </c>
    </row>
    <row r="15" spans="1:4" ht="21">
      <c r="A15" s="55"/>
      <c r="B15" s="46"/>
      <c r="C15" s="62"/>
      <c r="D15" s="46" t="s">
        <v>83</v>
      </c>
    </row>
    <row r="16" spans="1:4" ht="21">
      <c r="A16" s="55"/>
      <c r="B16" s="46"/>
      <c r="C16" s="62"/>
      <c r="D16" s="46" t="s">
        <v>84</v>
      </c>
    </row>
    <row r="17" spans="1:5" ht="21">
      <c r="A17" s="55"/>
      <c r="B17" s="46"/>
      <c r="C17" s="62"/>
      <c r="D17" s="46" t="s">
        <v>85</v>
      </c>
    </row>
    <row r="18" spans="1:5" ht="21">
      <c r="A18" s="8"/>
      <c r="B18" s="46" t="s">
        <v>18</v>
      </c>
      <c r="C18" s="62" t="s">
        <v>63</v>
      </c>
      <c r="D18" s="46" t="s">
        <v>68</v>
      </c>
      <c r="E18" s="17"/>
    </row>
    <row r="19" spans="1:5" ht="21">
      <c r="A19" s="8"/>
      <c r="B19" s="46" t="s">
        <v>19</v>
      </c>
      <c r="C19" s="62" t="s">
        <v>64</v>
      </c>
      <c r="D19" s="46" t="s">
        <v>69</v>
      </c>
    </row>
    <row r="20" spans="1:5" ht="21">
      <c r="A20" s="8"/>
      <c r="B20" s="46" t="s">
        <v>20</v>
      </c>
      <c r="C20" s="66"/>
      <c r="D20" s="46"/>
    </row>
    <row r="21" spans="1:5" ht="21">
      <c r="A21" s="8"/>
      <c r="B21" s="46" t="s">
        <v>21</v>
      </c>
      <c r="C21" s="78"/>
      <c r="D21" s="82"/>
    </row>
    <row r="22" spans="1:5" ht="21">
      <c r="A22" s="8"/>
      <c r="B22" s="439" t="s">
        <v>31</v>
      </c>
      <c r="C22" s="62"/>
      <c r="D22" s="19"/>
    </row>
    <row r="23" spans="1:5" ht="21">
      <c r="A23" s="8"/>
      <c r="B23" s="440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59" t="s">
        <v>22</v>
      </c>
      <c r="C25" s="62" t="s">
        <v>70</v>
      </c>
      <c r="D25" s="46" t="s">
        <v>71</v>
      </c>
    </row>
    <row r="26" spans="1:5" ht="21">
      <c r="A26" s="8"/>
      <c r="B26" s="59" t="s">
        <v>23</v>
      </c>
      <c r="C26" s="62" t="s">
        <v>70</v>
      </c>
      <c r="D26" s="46" t="s">
        <v>86</v>
      </c>
    </row>
    <row r="27" spans="1:5" ht="21">
      <c r="A27" s="8"/>
      <c r="B27" s="59" t="s">
        <v>24</v>
      </c>
      <c r="C27" s="62" t="s">
        <v>70</v>
      </c>
      <c r="D27" s="46" t="s">
        <v>72</v>
      </c>
    </row>
    <row r="28" spans="1:5" ht="21">
      <c r="A28" s="8"/>
      <c r="B28" s="59" t="s">
        <v>25</v>
      </c>
      <c r="C28" s="62" t="s">
        <v>70</v>
      </c>
      <c r="D28" s="46" t="s">
        <v>73</v>
      </c>
    </row>
    <row r="29" spans="1:5" ht="21">
      <c r="A29" s="8"/>
      <c r="B29" s="59" t="s">
        <v>26</v>
      </c>
      <c r="C29" s="62" t="s">
        <v>70</v>
      </c>
      <c r="D29" s="46" t="s">
        <v>74</v>
      </c>
    </row>
    <row r="30" spans="1:5" ht="21">
      <c r="A30" s="8"/>
      <c r="B30" s="59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59" t="s">
        <v>28</v>
      </c>
      <c r="C33" s="62" t="s">
        <v>70</v>
      </c>
      <c r="D33" s="46" t="s">
        <v>75</v>
      </c>
    </row>
    <row r="34" spans="1:7" ht="21">
      <c r="A34" s="8"/>
      <c r="B34" s="59" t="s">
        <v>29</v>
      </c>
      <c r="C34" s="145" t="s">
        <v>70</v>
      </c>
      <c r="D34" s="146" t="s">
        <v>611</v>
      </c>
      <c r="E34" s="2" t="s">
        <v>542</v>
      </c>
    </row>
    <row r="35" spans="1:7" ht="21">
      <c r="A35" s="36"/>
      <c r="B35" s="59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56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 customHeight="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435" t="s">
        <v>10</v>
      </c>
      <c r="B70" s="435"/>
      <c r="C70" s="435"/>
      <c r="D70" s="435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31496062992125984" right="0.70866141732283472" top="0.24" bottom="0.24" header="0.24" footer="0.2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N108"/>
  <sheetViews>
    <sheetView tabSelected="1" topLeftCell="A4" workbookViewId="0">
      <pane xSplit="3" ySplit="5" topLeftCell="F9" activePane="bottomRight" state="frozen"/>
      <selection activeCell="A4" sqref="A4"/>
      <selection pane="topRight" activeCell="D4" sqref="D4"/>
      <selection pane="bottomLeft" activeCell="A9" sqref="A9"/>
      <selection pane="bottomRight" activeCell="G11" sqref="G11"/>
    </sheetView>
  </sheetViews>
  <sheetFormatPr defaultColWidth="36.625" defaultRowHeight="21"/>
  <cols>
    <col min="1" max="1" width="5.75" style="34" customWidth="1"/>
    <col min="2" max="2" width="48" style="2" customWidth="1"/>
    <col min="3" max="3" width="9.625" style="2" hidden="1" customWidth="1"/>
    <col min="4" max="4" width="12.125" style="25" customWidth="1"/>
    <col min="5" max="5" width="14.875" style="25" customWidth="1"/>
    <col min="6" max="6" width="14.25" style="25" customWidth="1"/>
    <col min="7" max="7" width="14.5" style="25" customWidth="1"/>
    <col min="8" max="8" width="13.625" style="2" customWidth="1"/>
    <col min="9" max="9" width="15" style="2" customWidth="1"/>
    <col min="10" max="10" width="0.875" style="2" customWidth="1"/>
    <col min="11" max="11" width="50.25" style="265" customWidth="1"/>
    <col min="12" max="12" width="14.5" style="2" bestFit="1" customWidth="1"/>
    <col min="13" max="13" width="2.625" style="2" customWidth="1"/>
    <col min="14" max="14" width="20.25" style="2" customWidth="1"/>
    <col min="15" max="16384" width="36.625" style="2"/>
  </cols>
  <sheetData>
    <row r="1" spans="1:11">
      <c r="A1" s="1" t="s">
        <v>0</v>
      </c>
    </row>
    <row r="2" spans="1:11">
      <c r="A2" s="1" t="s">
        <v>1</v>
      </c>
    </row>
    <row r="3" spans="1:11">
      <c r="A3" s="1" t="s">
        <v>2</v>
      </c>
    </row>
    <row r="4" spans="1:11" ht="23.25">
      <c r="B4" s="426" t="s">
        <v>3</v>
      </c>
      <c r="C4" s="426"/>
      <c r="D4" s="426"/>
      <c r="E4" s="426"/>
      <c r="F4" s="426"/>
      <c r="G4" s="426"/>
      <c r="H4" s="426"/>
      <c r="I4" s="317"/>
    </row>
    <row r="5" spans="1:11">
      <c r="B5" s="429" t="s">
        <v>612</v>
      </c>
      <c r="C5" s="429"/>
      <c r="D5" s="429"/>
      <c r="E5" s="429"/>
      <c r="F5" s="429"/>
      <c r="G5" s="429"/>
      <c r="H5" s="429"/>
      <c r="I5" s="318"/>
      <c r="K5" s="265" t="s">
        <v>614</v>
      </c>
    </row>
    <row r="6" spans="1:11">
      <c r="A6" s="3"/>
      <c r="B6" s="430" t="s">
        <v>4</v>
      </c>
      <c r="C6" s="430"/>
      <c r="D6" s="430"/>
      <c r="E6" s="430"/>
      <c r="F6" s="430"/>
      <c r="G6" s="430"/>
      <c r="H6" s="430"/>
      <c r="I6" s="319"/>
    </row>
    <row r="7" spans="1:11" s="4" customFormat="1">
      <c r="A7" s="437" t="s">
        <v>5</v>
      </c>
      <c r="B7" s="431" t="s">
        <v>11</v>
      </c>
      <c r="C7" s="431" t="s">
        <v>6</v>
      </c>
      <c r="D7" s="441" t="s">
        <v>7</v>
      </c>
      <c r="E7" s="442"/>
      <c r="F7" s="442"/>
      <c r="G7" s="442"/>
      <c r="H7" s="442"/>
      <c r="I7" s="442"/>
      <c r="K7" s="266"/>
    </row>
    <row r="8" spans="1:11" s="4" customFormat="1">
      <c r="A8" s="437"/>
      <c r="B8" s="432"/>
      <c r="C8" s="432"/>
      <c r="D8" s="38" t="s">
        <v>58</v>
      </c>
      <c r="E8" s="38" t="s">
        <v>682</v>
      </c>
      <c r="F8" s="38" t="s">
        <v>683</v>
      </c>
      <c r="G8" s="38" t="s">
        <v>684</v>
      </c>
      <c r="H8" s="320" t="s">
        <v>685</v>
      </c>
      <c r="I8" s="320" t="s">
        <v>681</v>
      </c>
      <c r="K8" s="266"/>
    </row>
    <row r="9" spans="1:11" s="7" customFormat="1">
      <c r="A9" s="5" t="s">
        <v>8</v>
      </c>
      <c r="B9" s="6" t="s">
        <v>9</v>
      </c>
      <c r="C9" s="6"/>
      <c r="D9" s="87"/>
      <c r="E9" s="87"/>
      <c r="F9" s="87"/>
      <c r="G9" s="87"/>
      <c r="H9" s="87"/>
      <c r="I9" s="87"/>
      <c r="K9" s="267"/>
    </row>
    <row r="10" spans="1:11">
      <c r="A10" s="8"/>
      <c r="B10" s="9" t="s">
        <v>14</v>
      </c>
      <c r="C10" s="9"/>
      <c r="D10" s="133">
        <f>SUM('TB 2012'!J86:J172)/1000</f>
        <v>3764215.5500899977</v>
      </c>
      <c r="E10" s="133">
        <f>+SUM('TB JAn''13'!I80:I136)</f>
        <v>243923465.19999999</v>
      </c>
      <c r="F10" s="133">
        <f>+SUM('TB Feb''13'!I80:I139)</f>
        <v>384345228.43999994</v>
      </c>
      <c r="G10" s="313">
        <f>+SUM('TB March''13'!I81:I149)</f>
        <v>869899.40999980271</v>
      </c>
      <c r="H10" s="313">
        <f>+SUM('TB June''13'!I83:I159)</f>
        <v>161189497.61000016</v>
      </c>
      <c r="I10" s="313">
        <f>+SUM('TB for 2013'!F89)</f>
        <v>3270485554.2592773</v>
      </c>
      <c r="K10" s="2" t="s">
        <v>656</v>
      </c>
    </row>
    <row r="11" spans="1:11">
      <c r="A11" s="8"/>
      <c r="B11" s="11" t="s">
        <v>15</v>
      </c>
      <c r="C11" s="10"/>
      <c r="D11" s="134">
        <f t="shared" ref="D11:I11" si="0">+D12+D13+D14+D15+D16+D17</f>
        <v>418699.00905000017</v>
      </c>
      <c r="E11" s="134">
        <f t="shared" si="0"/>
        <v>39596228.50000003</v>
      </c>
      <c r="F11" s="134">
        <f t="shared" si="0"/>
        <v>28187122.879999995</v>
      </c>
      <c r="G11" s="134">
        <f t="shared" si="0"/>
        <v>37983111.679999962</v>
      </c>
      <c r="H11" s="134">
        <f t="shared" si="0"/>
        <v>37654392.699999914</v>
      </c>
      <c r="I11" s="134">
        <f t="shared" si="0"/>
        <v>450979720.24000007</v>
      </c>
      <c r="K11" s="268"/>
    </row>
    <row r="12" spans="1:11">
      <c r="A12" s="8"/>
      <c r="B12" s="11" t="s">
        <v>16</v>
      </c>
      <c r="C12" s="11"/>
      <c r="D12" s="133">
        <f>SUM('TB 2012'!J50:J56)/1000</f>
        <v>418699.00905000017</v>
      </c>
      <c r="E12" s="133">
        <f>+SUM('TB JAn''13'!J47:J52)</f>
        <v>39596228.50000003</v>
      </c>
      <c r="F12" s="133">
        <f>+SUM('TB Feb''13'!J47:J52)</f>
        <v>28187122.879999995</v>
      </c>
      <c r="G12" s="133">
        <f>+SUM('TB March''13'!J48:J53)</f>
        <v>37983111.679999962</v>
      </c>
      <c r="H12" s="133">
        <f>+SUM('TB June''13'!J49:J54)</f>
        <v>37654392.699999914</v>
      </c>
      <c r="I12" s="324">
        <f>+SUM('TB for 2013'!J57:J62)</f>
        <v>450979720.24000007</v>
      </c>
      <c r="K12" s="269">
        <v>1481</v>
      </c>
    </row>
    <row r="13" spans="1:11">
      <c r="A13" s="8"/>
      <c r="B13" s="11" t="s">
        <v>17</v>
      </c>
      <c r="C13" s="11"/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K13" s="268"/>
    </row>
    <row r="14" spans="1:11">
      <c r="A14" s="8"/>
      <c r="B14" s="11" t="s">
        <v>18</v>
      </c>
      <c r="C14" s="11"/>
      <c r="D14" s="182">
        <v>0</v>
      </c>
      <c r="E14" s="182">
        <v>0</v>
      </c>
      <c r="F14" s="182">
        <v>0</v>
      </c>
      <c r="G14" s="182">
        <v>0</v>
      </c>
      <c r="H14" s="182">
        <v>0</v>
      </c>
      <c r="I14" s="182">
        <v>0</v>
      </c>
      <c r="J14" s="183"/>
      <c r="K14" s="270" t="s">
        <v>633</v>
      </c>
    </row>
    <row r="15" spans="1:11">
      <c r="A15" s="8"/>
      <c r="B15" s="11" t="s">
        <v>19</v>
      </c>
      <c r="C15" s="31"/>
      <c r="D15" s="133">
        <v>0</v>
      </c>
      <c r="E15" s="133">
        <v>0</v>
      </c>
      <c r="F15" s="133">
        <v>0</v>
      </c>
      <c r="G15" s="133">
        <v>0</v>
      </c>
      <c r="H15" s="133">
        <v>0</v>
      </c>
      <c r="I15" s="133">
        <v>0</v>
      </c>
      <c r="K15" s="268"/>
    </row>
    <row r="16" spans="1:11">
      <c r="A16" s="8"/>
      <c r="B16" s="11" t="s">
        <v>20</v>
      </c>
      <c r="C16" s="31"/>
      <c r="D16" s="133">
        <v>0</v>
      </c>
      <c r="E16" s="133">
        <v>0</v>
      </c>
      <c r="F16" s="133">
        <v>0</v>
      </c>
      <c r="G16" s="133">
        <v>0</v>
      </c>
      <c r="H16" s="133">
        <v>0</v>
      </c>
      <c r="I16" s="133">
        <v>0</v>
      </c>
      <c r="K16" s="268"/>
    </row>
    <row r="17" spans="1:14">
      <c r="A17" s="8"/>
      <c r="B17" s="11" t="s">
        <v>21</v>
      </c>
      <c r="C17" s="31"/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K17" s="268"/>
    </row>
    <row r="18" spans="1:14" ht="18.75" customHeight="1">
      <c r="A18" s="8"/>
      <c r="B18" s="253" t="s">
        <v>31</v>
      </c>
      <c r="C18" s="254"/>
      <c r="D18" s="255">
        <f t="shared" ref="D18:H18" si="1">+D10+D11</f>
        <v>4182914.5591399977</v>
      </c>
      <c r="E18" s="255">
        <f t="shared" si="1"/>
        <v>283519693.70000005</v>
      </c>
      <c r="F18" s="255">
        <f t="shared" si="1"/>
        <v>412532351.31999993</v>
      </c>
      <c r="G18" s="255">
        <f t="shared" si="1"/>
        <v>38853011.089999765</v>
      </c>
      <c r="H18" s="255">
        <f t="shared" si="1"/>
        <v>198843890.31000006</v>
      </c>
      <c r="I18" s="255">
        <f>+I10+I11</f>
        <v>3721465274.4992776</v>
      </c>
      <c r="K18" s="268" t="s">
        <v>617</v>
      </c>
    </row>
    <row r="19" spans="1:14" ht="23.25" customHeight="1">
      <c r="A19" s="8"/>
      <c r="B19" s="16" t="s">
        <v>534</v>
      </c>
      <c r="C19" s="31"/>
      <c r="D19" s="153">
        <f t="shared" ref="D19:G19" si="2">+D20+D21+D22+D23+D24+D25+D26+D27</f>
        <v>-21876576.816340044</v>
      </c>
      <c r="E19" s="153">
        <f t="shared" si="2"/>
        <v>11847000424.619999</v>
      </c>
      <c r="F19" s="153">
        <f t="shared" si="2"/>
        <v>8799833241.9000015</v>
      </c>
      <c r="G19" s="153">
        <f t="shared" si="2"/>
        <v>3575520952.7399993</v>
      </c>
      <c r="H19" s="153">
        <f>+H20+H21+H22+H23+H24+H25+H26+H27</f>
        <v>2848790117.5299997</v>
      </c>
      <c r="I19" s="153">
        <f>+I20+I21+I22+I23+I24+I25+I26+I27</f>
        <v>-20980818820.690002</v>
      </c>
      <c r="K19" s="268"/>
      <c r="N19" s="2">
        <v>9</v>
      </c>
    </row>
    <row r="20" spans="1:14">
      <c r="A20" s="8"/>
      <c r="B20" s="333" t="s">
        <v>22</v>
      </c>
      <c r="C20" s="31"/>
      <c r="D20" s="153">
        <f>-SUM('TB 2012'!I6:I25)/1000</f>
        <v>-20185460.41754004</v>
      </c>
      <c r="E20" s="153">
        <f>-SUM('TB JAn''13'!I6:I24)</f>
        <v>11723830214.09</v>
      </c>
      <c r="F20" s="153">
        <f>-SUM('TB Feb''13'!I6:I24)</f>
        <v>9161058677.8200016</v>
      </c>
      <c r="G20" s="153">
        <f>-SUM('TB March''13'!I6:I24)</f>
        <v>4486956719.6499996</v>
      </c>
      <c r="H20" s="153">
        <f>-SUM('TB June''13'!I6:I25)</f>
        <v>3260137318.1599998</v>
      </c>
      <c r="I20" s="325">
        <f>-SUM('TB for 2013'!I6:I25)</f>
        <v>-20271093330.600002</v>
      </c>
      <c r="K20" s="268" t="s">
        <v>616</v>
      </c>
    </row>
    <row r="21" spans="1:14">
      <c r="A21" s="8"/>
      <c r="B21" s="332" t="s">
        <v>23</v>
      </c>
      <c r="C21" s="31"/>
      <c r="D21" s="153">
        <f>-('TB 2012'!I33+'TB 2012'!I34)/1000</f>
        <v>-434990.20000999991</v>
      </c>
      <c r="E21" s="153">
        <f>-SUM('TB JAn''13'!I31:I32)</f>
        <v>-155025399.99000001</v>
      </c>
      <c r="F21" s="153">
        <f>-SUM('TB Feb''13'!I31:I32)</f>
        <v>-433252600.00000006</v>
      </c>
      <c r="G21" s="153">
        <f>-SUM('TB March''13'!I32:I33)</f>
        <v>-261499400</v>
      </c>
      <c r="H21" s="153">
        <f>-SUM('TB June''13'!I33:I34)</f>
        <v>-197622700.00000006</v>
      </c>
      <c r="I21" s="335">
        <f>-SUM('TB for 2013'!I39:I40)</f>
        <v>-1055598299.99</v>
      </c>
      <c r="K21" s="268" t="s">
        <v>615</v>
      </c>
    </row>
    <row r="22" spans="1:14">
      <c r="A22" s="8"/>
      <c r="B22" s="340" t="s">
        <v>24</v>
      </c>
      <c r="C22" s="31"/>
      <c r="D22" s="153">
        <f>-'TB 2012'!I30/1000</f>
        <v>-54536.205999999998</v>
      </c>
      <c r="E22" s="153">
        <f>-SUM('TB JAn''13'!I28)</f>
        <v>56396718</v>
      </c>
      <c r="F22" s="153">
        <f>-SUM('TB Feb''13'!I28)</f>
        <v>-87819167</v>
      </c>
      <c r="G22" s="153">
        <f>-SUM('TB March''13'!I29)</f>
        <v>90243338</v>
      </c>
      <c r="H22" s="153">
        <f>-'TB June''13'!I30</f>
        <v>-9765615</v>
      </c>
      <c r="I22" s="341">
        <f>-SUM('TB for 2013'!I36)</f>
        <v>-368515318</v>
      </c>
      <c r="K22" s="269">
        <v>1201181</v>
      </c>
    </row>
    <row r="23" spans="1:14">
      <c r="A23" s="8"/>
      <c r="B23" s="15" t="s">
        <v>25</v>
      </c>
      <c r="C23" s="31"/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K23" s="268" t="s">
        <v>73</v>
      </c>
    </row>
    <row r="24" spans="1:14">
      <c r="A24" s="8"/>
      <c r="B24" s="343" t="s">
        <v>26</v>
      </c>
      <c r="C24" s="31"/>
      <c r="D24" s="133">
        <f>-'TB 2012'!I31/1000</f>
        <v>23823.233</v>
      </c>
      <c r="E24" s="153">
        <f>-SUM('TB JAn''13'!I29)</f>
        <v>-139167192</v>
      </c>
      <c r="F24" s="133">
        <f>-SUM('TB Feb''13'!I29)</f>
        <v>139167192</v>
      </c>
      <c r="G24" s="153">
        <f>-SUM('TB March''13'!I30)</f>
        <v>-759514740</v>
      </c>
      <c r="H24" s="153">
        <f>-SUM('TB June''13'!I31)</f>
        <v>10467164</v>
      </c>
      <c r="I24" s="326">
        <f>-SUM('TB for 2013'!I37)</f>
        <v>-10142696</v>
      </c>
      <c r="K24" s="271" t="s">
        <v>162</v>
      </c>
    </row>
    <row r="25" spans="1:14">
      <c r="A25" s="8"/>
      <c r="B25" s="337" t="s">
        <v>27</v>
      </c>
      <c r="C25" s="11"/>
      <c r="D25" s="153">
        <f>-('TB 2012'!I26+'TB 2012'!I32)/1000</f>
        <v>-1027703.1272700005</v>
      </c>
      <c r="E25" s="153">
        <f>-SUM('TB JAn''13'!I25+'TB JAn''13'!I30)</f>
        <v>333820556.56</v>
      </c>
      <c r="F25" s="153">
        <f>-SUM('TB Feb''13'!I25+'TB Feb''13'!I30)</f>
        <v>-32451480.879999995</v>
      </c>
      <c r="G25" s="153">
        <f>-SUM('TB March''13'!I25+'TB March''13'!I31)</f>
        <v>7298891.9499999881</v>
      </c>
      <c r="H25" s="153">
        <f>-SUM('TB June''13'!I26+'TB June''13'!I32)</f>
        <v>38698630</v>
      </c>
      <c r="I25" s="327">
        <f>-('TB for 2013'!I32+'TB for 2013'!I38)</f>
        <v>546652899.52000022</v>
      </c>
      <c r="K25" s="272" t="s">
        <v>618</v>
      </c>
    </row>
    <row r="26" spans="1:14">
      <c r="A26" s="8"/>
      <c r="B26" s="15" t="s">
        <v>28</v>
      </c>
      <c r="C26" s="11"/>
      <c r="D26" s="133">
        <v>0</v>
      </c>
      <c r="E26" s="153">
        <v>0</v>
      </c>
      <c r="F26" s="153">
        <v>0</v>
      </c>
      <c r="G26" s="153">
        <v>0</v>
      </c>
      <c r="H26" s="153">
        <v>0</v>
      </c>
      <c r="I26" s="153">
        <v>0</v>
      </c>
      <c r="K26" s="272" t="s">
        <v>75</v>
      </c>
    </row>
    <row r="27" spans="1:14">
      <c r="A27" s="8"/>
      <c r="B27" s="338" t="s">
        <v>620</v>
      </c>
      <c r="C27" s="11"/>
      <c r="D27" s="153">
        <f>-SUM('TB 2012'!I35:I43)/1000-SUM('TB 2012'!I27:I29)/1000</f>
        <v>-197710.09852000006</v>
      </c>
      <c r="E27" s="153">
        <f>-SUM('TB JAn''13'!I26:I27)-SUM('TB JAn''13'!I33:I40)</f>
        <v>27145527.96000002</v>
      </c>
      <c r="F27" s="153">
        <f>-SUM('TB Feb''13'!I26:I27)-SUM('TB Feb''13'!I33:I40)</f>
        <v>53130619.959999956</v>
      </c>
      <c r="G27" s="153">
        <f>-SUM('TB March''13'!I26:I28)-SUM('TB March''13'!I34:I41)</f>
        <v>12036143.139999989</v>
      </c>
      <c r="H27" s="153">
        <f>-SUM('TB June''13'!I27:I29)-SUM('TB June''13'!I35:I42)</f>
        <v>-253124679.63</v>
      </c>
      <c r="I27" s="312">
        <f>-SUM('TB for 2013'!I33:I35)-SUM('TB for 2013'!I41:I50)</f>
        <v>177877924.37999958</v>
      </c>
      <c r="K27" s="264" t="s">
        <v>619</v>
      </c>
    </row>
    <row r="28" spans="1:14">
      <c r="A28" s="36"/>
      <c r="B28" s="256" t="s">
        <v>32</v>
      </c>
      <c r="C28" s="257"/>
      <c r="D28" s="258">
        <f t="shared" ref="D28:H28" si="3">+D19</f>
        <v>-21876576.816340044</v>
      </c>
      <c r="E28" s="258">
        <f t="shared" si="3"/>
        <v>11847000424.619999</v>
      </c>
      <c r="F28" s="258">
        <f t="shared" si="3"/>
        <v>8799833241.9000015</v>
      </c>
      <c r="G28" s="258">
        <f t="shared" si="3"/>
        <v>3575520952.7399993</v>
      </c>
      <c r="H28" s="258">
        <f t="shared" si="3"/>
        <v>2848790117.5299997</v>
      </c>
      <c r="I28" s="258">
        <f>+I19</f>
        <v>-20980818820.690002</v>
      </c>
      <c r="K28" s="272"/>
      <c r="L28" s="287">
        <f>+G28+'TB March''13'!L41</f>
        <v>0</v>
      </c>
      <c r="M28" s="2" t="s">
        <v>641</v>
      </c>
      <c r="N28" s="144">
        <f>+G28+G36</f>
        <v>-74581361.010000706</v>
      </c>
    </row>
    <row r="29" spans="1:14" ht="22.5" customHeight="1">
      <c r="A29" s="36"/>
      <c r="B29" s="16" t="s">
        <v>535</v>
      </c>
      <c r="C29" s="31"/>
      <c r="D29" s="133">
        <f t="shared" ref="D29:H29" si="4">+D30+D31+D32+D33+D34+D35</f>
        <v>17872191.572249997</v>
      </c>
      <c r="E29" s="153">
        <f t="shared" si="4"/>
        <v>-12124988118.319986</v>
      </c>
      <c r="F29" s="153">
        <f t="shared" si="4"/>
        <v>-9214425593.2200012</v>
      </c>
      <c r="G29" s="153">
        <f t="shared" si="4"/>
        <v>-3650102313.75</v>
      </c>
      <c r="H29" s="153">
        <f t="shared" si="4"/>
        <v>-3461765214.8399997</v>
      </c>
      <c r="I29" s="153">
        <f>+I30+I31+I32+I33+I34+I35</f>
        <v>16818077389.270014</v>
      </c>
      <c r="K29" s="272"/>
      <c r="L29" s="156">
        <f>+'TB March''13'!L71-'Cash flow statement '!G36</f>
        <v>0</v>
      </c>
      <c r="N29" s="144">
        <f>+N28+G18</f>
        <v>-35728349.920000941</v>
      </c>
    </row>
    <row r="30" spans="1:14">
      <c r="A30" s="8"/>
      <c r="B30" s="16" t="s">
        <v>34</v>
      </c>
      <c r="C30" s="31"/>
      <c r="D30" s="133">
        <v>0</v>
      </c>
      <c r="E30" s="153">
        <v>0</v>
      </c>
      <c r="F30" s="153">
        <v>0</v>
      </c>
      <c r="G30" s="153">
        <v>0</v>
      </c>
      <c r="H30" s="153">
        <v>0</v>
      </c>
      <c r="I30" s="153">
        <v>0</v>
      </c>
      <c r="J30" s="35"/>
      <c r="K30" s="272"/>
      <c r="L30" s="33"/>
      <c r="N30" s="144">
        <f>+N29+G42</f>
        <v>-35663705.000000983</v>
      </c>
    </row>
    <row r="31" spans="1:14">
      <c r="A31" s="8"/>
      <c r="B31" s="349" t="s">
        <v>35</v>
      </c>
      <c r="C31" s="31"/>
      <c r="D31" s="133">
        <f>SUM('TB 2012'!J59:J62)/1000</f>
        <v>15911349.448999999</v>
      </c>
      <c r="E31" s="153">
        <f>+SUM('TB JAn''13'!J54:J57)</f>
        <v>-11983987982.999987</v>
      </c>
      <c r="F31" s="153">
        <f>+SUM('TB Feb''13'!J54:J57)</f>
        <v>-7856401088</v>
      </c>
      <c r="G31" s="153">
        <f>+SUM('TB March''13'!J55:J58)</f>
        <v>-3868953821</v>
      </c>
      <c r="H31" s="153">
        <f>+SUM('TB June''13'!J56:J59)</f>
        <v>-3296695737</v>
      </c>
      <c r="I31" s="339">
        <f>+SUM('TB for 2013'!J65:J69)</f>
        <v>16862261572.000013</v>
      </c>
      <c r="J31" s="23"/>
      <c r="K31" s="272" t="s">
        <v>621</v>
      </c>
      <c r="L31" s="23"/>
    </row>
    <row r="32" spans="1:14">
      <c r="A32" s="8"/>
      <c r="B32" s="352" t="s">
        <v>106</v>
      </c>
      <c r="C32" s="31"/>
      <c r="D32" s="133">
        <f>'TB 2012'!J57/1000</f>
        <v>53391.813999999998</v>
      </c>
      <c r="E32" s="153">
        <f>+SUM('TB JAn''13'!J53)</f>
        <v>-56406512</v>
      </c>
      <c r="F32" s="153">
        <f>+SUM('TB Feb''13'!J53)</f>
        <v>84359070</v>
      </c>
      <c r="G32" s="153">
        <f>+SUM('TB March''13'!J54)</f>
        <v>-85190134</v>
      </c>
      <c r="H32" s="153">
        <f>+SUM('TB June''13'!J55)</f>
        <v>8130534</v>
      </c>
      <c r="I32" s="344">
        <f>+SUM('TB for 2013'!J64)</f>
        <v>237683525</v>
      </c>
      <c r="K32" s="272" t="s">
        <v>227</v>
      </c>
    </row>
    <row r="33" spans="1:13">
      <c r="A33" s="8"/>
      <c r="B33" s="355" t="s">
        <v>107</v>
      </c>
      <c r="C33" s="11"/>
      <c r="D33" s="133">
        <f>'TB 2012'!J63/1000</f>
        <v>1455561.59402</v>
      </c>
      <c r="E33" s="153">
        <f>+SUM('TB JAn''13'!J58)</f>
        <v>0</v>
      </c>
      <c r="F33" s="153">
        <f>+'TB Feb''13'!J58</f>
        <v>-1455561594.02</v>
      </c>
      <c r="G33" s="153">
        <f>+'TB March''13'!J59</f>
        <v>217820061.22</v>
      </c>
      <c r="H33" s="153">
        <f>+'TB June''13'!J60</f>
        <v>-0.21999999046325683</v>
      </c>
      <c r="I33" s="356">
        <f>+SUM('TB for 2013'!J70)</f>
        <v>-1078139092.48</v>
      </c>
      <c r="K33" s="272" t="s">
        <v>230</v>
      </c>
    </row>
    <row r="34" spans="1:13">
      <c r="A34" s="8"/>
      <c r="B34" s="359" t="s">
        <v>108</v>
      </c>
      <c r="C34" s="11"/>
      <c r="D34" s="133">
        <f>SUM('TB 2012'!J64:J72)/1000</f>
        <v>134141.94236000042</v>
      </c>
      <c r="E34" s="153">
        <f>+SUM('TB JAn''13'!J59:J67)</f>
        <v>-84593623.319999993</v>
      </c>
      <c r="F34" s="153">
        <f>+SUM('TB Feb''13'!J59:J67)</f>
        <v>40218051.979999036</v>
      </c>
      <c r="G34" s="153">
        <f>+SUM('TB March''13'!J60:J68)</f>
        <v>86221580.030000031</v>
      </c>
      <c r="H34" s="358">
        <f>+SUM('TB June''13'!J61:J69)-SUM('TB June''13'!I61:I69)</f>
        <v>82961781.24000001</v>
      </c>
      <c r="I34" s="358">
        <f>+SUM('TB for 2013'!J71:J79)</f>
        <v>-134747107.02000087</v>
      </c>
      <c r="K34" s="264" t="s">
        <v>622</v>
      </c>
    </row>
    <row r="35" spans="1:13">
      <c r="A35" s="8"/>
      <c r="B35" s="361" t="s">
        <v>109</v>
      </c>
      <c r="C35" s="11"/>
      <c r="D35" s="133">
        <f>SUM('TB 2012'!J73:J76)/1000</f>
        <v>317746.77287000063</v>
      </c>
      <c r="E35" s="153">
        <f>+SUM('TB JAn''13'!J68:J70)</f>
        <v>0</v>
      </c>
      <c r="F35" s="153">
        <f>+SUM('TB Feb''13'!J68:J70)</f>
        <v>-27040033.18</v>
      </c>
      <c r="G35" s="153">
        <f>+SUM('TB March''13'!J69:J71)</f>
        <v>0</v>
      </c>
      <c r="H35" s="153">
        <f>+SUM('TB June''13'!J70:J72)</f>
        <v>-256161792.86000001</v>
      </c>
      <c r="I35" s="342">
        <f>+SUM('TB for 2013'!J80:J82)</f>
        <v>931018491.76999986</v>
      </c>
      <c r="K35" s="272" t="s">
        <v>623</v>
      </c>
    </row>
    <row r="36" spans="1:13">
      <c r="A36" s="36"/>
      <c r="B36" s="259" t="s">
        <v>40</v>
      </c>
      <c r="C36" s="260"/>
      <c r="D36" s="261">
        <f t="shared" ref="D36:H36" si="5">+D29</f>
        <v>17872191.572249997</v>
      </c>
      <c r="E36" s="262">
        <f t="shared" si="5"/>
        <v>-12124988118.319986</v>
      </c>
      <c r="F36" s="262">
        <f t="shared" si="5"/>
        <v>-9214425593.2200012</v>
      </c>
      <c r="G36" s="262">
        <f t="shared" si="5"/>
        <v>-3650102313.75</v>
      </c>
      <c r="H36" s="262">
        <f t="shared" si="5"/>
        <v>-3461765214.8399997</v>
      </c>
      <c r="I36" s="262">
        <f>+I29</f>
        <v>16818077389.270014</v>
      </c>
      <c r="J36" s="2" t="s">
        <v>541</v>
      </c>
      <c r="K36" s="272"/>
      <c r="L36" s="17">
        <f>+G36-'TB March''13'!L71</f>
        <v>0</v>
      </c>
      <c r="M36" s="2" t="s">
        <v>641</v>
      </c>
    </row>
    <row r="37" spans="1:13">
      <c r="A37" s="8"/>
      <c r="B37" s="95" t="s">
        <v>41</v>
      </c>
      <c r="C37" s="9"/>
      <c r="D37" s="136">
        <f t="shared" ref="D37:H37" si="6">+D18+D28+D36</f>
        <v>178529.31504995003</v>
      </c>
      <c r="E37" s="152">
        <f t="shared" si="6"/>
        <v>5532000.0000133514</v>
      </c>
      <c r="F37" s="152">
        <f t="shared" si="6"/>
        <v>-2060000</v>
      </c>
      <c r="G37" s="152">
        <f t="shared" si="6"/>
        <v>-35728349.92000103</v>
      </c>
      <c r="H37" s="152">
        <f t="shared" si="6"/>
        <v>-414131207</v>
      </c>
      <c r="I37" s="152">
        <f>+I18+I28+I36</f>
        <v>-441276156.92070961</v>
      </c>
      <c r="K37" s="272"/>
      <c r="L37" s="263"/>
    </row>
    <row r="38" spans="1:13">
      <c r="A38" s="8" t="s">
        <v>42</v>
      </c>
      <c r="B38" s="94" t="s">
        <v>43</v>
      </c>
      <c r="C38" s="9"/>
      <c r="D38" s="137"/>
      <c r="E38" s="218"/>
      <c r="F38" s="137"/>
      <c r="G38" s="218"/>
      <c r="H38" s="218"/>
      <c r="I38" s="218"/>
      <c r="K38" s="272"/>
    </row>
    <row r="39" spans="1:13">
      <c r="A39" s="8"/>
      <c r="B39" s="9" t="s">
        <v>537</v>
      </c>
      <c r="C39" s="12"/>
      <c r="D39" s="133">
        <v>0</v>
      </c>
      <c r="E39" s="153">
        <v>0</v>
      </c>
      <c r="F39" s="133">
        <v>0</v>
      </c>
      <c r="G39" s="153">
        <v>0</v>
      </c>
      <c r="H39" s="153">
        <v>0</v>
      </c>
      <c r="I39" s="153">
        <v>0</v>
      </c>
      <c r="K39" s="272"/>
    </row>
    <row r="40" spans="1:13">
      <c r="A40" s="8"/>
      <c r="B40" s="9" t="s">
        <v>538</v>
      </c>
      <c r="C40" s="40"/>
      <c r="D40" s="138">
        <v>0</v>
      </c>
      <c r="E40" s="138">
        <v>0</v>
      </c>
      <c r="F40" s="138">
        <v>0</v>
      </c>
      <c r="G40" s="242">
        <v>0</v>
      </c>
      <c r="H40" s="242">
        <v>0</v>
      </c>
      <c r="I40" s="242">
        <v>0</v>
      </c>
      <c r="K40" s="272"/>
    </row>
    <row r="41" spans="1:13">
      <c r="A41" s="8"/>
      <c r="B41" s="96" t="s">
        <v>536</v>
      </c>
      <c r="C41" s="39"/>
      <c r="D41" s="151">
        <f>-SUM('TB 2012'!I44:I49)/1000</f>
        <v>-184061.315</v>
      </c>
      <c r="E41" s="151">
        <f>-SUM('TB JAn''13'!I41:I46)</f>
        <v>0</v>
      </c>
      <c r="F41" s="151">
        <f>-SUM('TB Feb''13'!I41:I46)</f>
        <v>2060000</v>
      </c>
      <c r="G41" s="151">
        <f>-SUM('TB March''13'!I42:I47)</f>
        <v>64644.919999957085</v>
      </c>
      <c r="H41" s="151">
        <f>-SUM('TB June''13'!I43:I48)</f>
        <v>-3194500</v>
      </c>
      <c r="I41" s="151">
        <f>-SUM('TB for 2013'!I51:I55)</f>
        <v>-6181255.0800000429</v>
      </c>
      <c r="K41" s="273" t="s">
        <v>624</v>
      </c>
    </row>
    <row r="42" spans="1:13">
      <c r="A42" s="8"/>
      <c r="B42" s="95" t="s">
        <v>47</v>
      </c>
      <c r="C42" s="40"/>
      <c r="D42" s="152">
        <f>+SUM(D39:D41)</f>
        <v>-184061.315</v>
      </c>
      <c r="E42" s="152">
        <f>+SUM(E39:E41)</f>
        <v>0</v>
      </c>
      <c r="F42" s="152">
        <f>+SUM(F39:F41)</f>
        <v>2060000</v>
      </c>
      <c r="G42" s="152">
        <f t="shared" ref="G42:H42" si="7">+SUM(G39:G41)</f>
        <v>64644.919999957085</v>
      </c>
      <c r="H42" s="152">
        <f t="shared" si="7"/>
        <v>-3194500</v>
      </c>
      <c r="I42" s="152">
        <f>+SUM(I39:I41)</f>
        <v>-6181255.0800000429</v>
      </c>
      <c r="K42" s="274"/>
    </row>
    <row r="43" spans="1:13">
      <c r="A43" s="8" t="s">
        <v>48</v>
      </c>
      <c r="B43" s="97" t="s">
        <v>49</v>
      </c>
      <c r="C43" s="37"/>
      <c r="D43" s="139"/>
      <c r="E43" s="139"/>
      <c r="F43" s="139"/>
      <c r="G43" s="150"/>
      <c r="H43" s="150"/>
      <c r="I43" s="150"/>
      <c r="K43" s="274"/>
    </row>
    <row r="44" spans="1:13">
      <c r="A44" s="8"/>
      <c r="B44" s="39" t="s">
        <v>539</v>
      </c>
      <c r="C44" s="37"/>
      <c r="D44" s="139">
        <v>0</v>
      </c>
      <c r="E44" s="139">
        <v>0</v>
      </c>
      <c r="F44" s="139">
        <v>0</v>
      </c>
      <c r="G44" s="150">
        <v>0</v>
      </c>
      <c r="H44" s="150">
        <v>0</v>
      </c>
      <c r="I44" s="150">
        <v>0</v>
      </c>
      <c r="J44" s="29"/>
      <c r="K44" s="274"/>
      <c r="L44" s="29"/>
    </row>
    <row r="45" spans="1:13">
      <c r="A45" s="8"/>
      <c r="B45" s="39" t="s">
        <v>540</v>
      </c>
      <c r="C45" s="37"/>
      <c r="D45" s="139">
        <v>0</v>
      </c>
      <c r="E45" s="139">
        <v>0</v>
      </c>
      <c r="F45" s="139">
        <v>0</v>
      </c>
      <c r="G45" s="150">
        <v>0</v>
      </c>
      <c r="H45" s="150">
        <v>0</v>
      </c>
      <c r="I45" s="150">
        <v>0</v>
      </c>
      <c r="K45" s="274"/>
    </row>
    <row r="46" spans="1:13">
      <c r="A46" s="8"/>
      <c r="B46" s="39" t="s">
        <v>52</v>
      </c>
      <c r="C46" s="39"/>
      <c r="D46" s="139">
        <v>0</v>
      </c>
      <c r="E46" s="139">
        <v>0</v>
      </c>
      <c r="F46" s="139">
        <v>0</v>
      </c>
      <c r="G46" s="314">
        <f>+SUM('TB March''13'!J72:J75)</f>
        <v>35663705</v>
      </c>
      <c r="H46" s="314">
        <f>+SUM('TB June''13'!J73:J77)</f>
        <v>417325707</v>
      </c>
      <c r="I46" s="314">
        <f>+SUM('TB for 2013'!J83:J87)-SUM('TB for 2013'!I83:I87)</f>
        <v>452989412.0000003</v>
      </c>
      <c r="K46" s="274" t="s">
        <v>657</v>
      </c>
    </row>
    <row r="47" spans="1:13">
      <c r="A47" s="55"/>
      <c r="B47" s="98" t="s">
        <v>53</v>
      </c>
      <c r="C47" s="37"/>
      <c r="D47" s="139">
        <v>0</v>
      </c>
      <c r="E47" s="139">
        <v>0</v>
      </c>
      <c r="F47" s="139">
        <v>0</v>
      </c>
      <c r="G47" s="150">
        <v>0</v>
      </c>
      <c r="H47" s="150">
        <v>0</v>
      </c>
      <c r="I47" s="150">
        <v>0</v>
      </c>
      <c r="K47" s="268"/>
    </row>
    <row r="48" spans="1:13" s="86" customFormat="1">
      <c r="A48" s="55"/>
      <c r="B48" s="95" t="s">
        <v>55</v>
      </c>
      <c r="C48" s="32"/>
      <c r="D48" s="136">
        <f>+SUM(D44:D47)</f>
        <v>0</v>
      </c>
      <c r="E48" s="136">
        <f t="shared" ref="E48:G48" si="8">+SUM(E44:E47)</f>
        <v>0</v>
      </c>
      <c r="F48" s="136">
        <f t="shared" si="8"/>
        <v>0</v>
      </c>
      <c r="G48" s="152">
        <f t="shared" si="8"/>
        <v>35663705</v>
      </c>
      <c r="H48" s="152">
        <f t="shared" ref="H48" si="9">+SUM(H44:H47)</f>
        <v>417325707</v>
      </c>
      <c r="I48" s="152">
        <f>+SUM(I44:I47)</f>
        <v>452989412.0000003</v>
      </c>
      <c r="K48" s="275"/>
    </row>
    <row r="49" spans="1:12" s="86" customFormat="1">
      <c r="A49" s="55" t="s">
        <v>54</v>
      </c>
      <c r="B49" s="97" t="s">
        <v>65</v>
      </c>
      <c r="C49" s="32"/>
      <c r="D49" s="135"/>
      <c r="E49" s="135"/>
      <c r="F49" s="135"/>
      <c r="G49" s="154"/>
      <c r="H49" s="154"/>
      <c r="I49" s="154"/>
      <c r="K49" s="275"/>
    </row>
    <row r="50" spans="1:12">
      <c r="A50" s="55"/>
      <c r="B50" s="39" t="s">
        <v>60</v>
      </c>
      <c r="C50" s="37"/>
      <c r="D50" s="150">
        <f t="shared" ref="D50:H50" si="10">+D37+D42+D48</f>
        <v>-5531.9999500499689</v>
      </c>
      <c r="E50" s="150">
        <f t="shared" si="10"/>
        <v>5532000.0000133514</v>
      </c>
      <c r="F50" s="150">
        <f>+F37+F42+F48</f>
        <v>0</v>
      </c>
      <c r="G50" s="150">
        <f t="shared" si="10"/>
        <v>-1.0728836059570313E-6</v>
      </c>
      <c r="H50" s="150">
        <f t="shared" si="10"/>
        <v>0</v>
      </c>
      <c r="I50" s="150">
        <f>+I37+I42+I48</f>
        <v>5531999.9992906451</v>
      </c>
      <c r="J50" s="156">
        <f>+'TB 2012'!L21/10000</f>
        <v>-4482007.1582459975</v>
      </c>
      <c r="K50" s="276">
        <f>+'TB 2012'!I5/1000</f>
        <v>-5532</v>
      </c>
      <c r="L50" s="156">
        <f>+H50</f>
        <v>0</v>
      </c>
    </row>
    <row r="51" spans="1:12">
      <c r="A51" s="8"/>
      <c r="B51" s="39" t="s">
        <v>12</v>
      </c>
      <c r="C51" s="37"/>
      <c r="D51" s="139">
        <f>'TB 2012'!C5/1000</f>
        <v>10000</v>
      </c>
      <c r="E51" s="139">
        <f>+'TB JAn''13'!C5</f>
        <v>4468000</v>
      </c>
      <c r="F51" s="139">
        <f>+'TB Feb''13'!C5</f>
        <v>10000000</v>
      </c>
      <c r="G51" s="139">
        <f>+'TB March''13'!C5</f>
        <v>10000000</v>
      </c>
      <c r="H51" s="139">
        <f>+'TB June''13'!C5</f>
        <v>10000000</v>
      </c>
      <c r="I51" s="139">
        <f>+'TB for 2013'!C5</f>
        <v>4468000</v>
      </c>
      <c r="J51" s="144" t="e">
        <f>+#REF!/10000</f>
        <v>#REF!</v>
      </c>
      <c r="K51" s="277">
        <f>+K50-D50</f>
        <v>-4.9950031097978354E-5</v>
      </c>
      <c r="L51" s="17">
        <f>+'TB June''13'!J73+'TB June''13'!J74+'TB June''13'!J75+'TB June''13'!J76+'TB June''13'!J77</f>
        <v>417325707</v>
      </c>
    </row>
    <row r="52" spans="1:12">
      <c r="A52" s="14"/>
      <c r="B52" s="99" t="s">
        <v>13</v>
      </c>
      <c r="C52" s="100"/>
      <c r="D52" s="155">
        <f>+SUM(D50:D51)</f>
        <v>4468.0000499500311</v>
      </c>
      <c r="E52" s="155">
        <f>+SUM(E50:E51)</f>
        <v>10000000.000013351</v>
      </c>
      <c r="F52" s="155">
        <f t="shared" ref="F52:J52" si="11">+SUM(F50:F51)</f>
        <v>10000000</v>
      </c>
      <c r="G52" s="155">
        <f t="shared" si="11"/>
        <v>9999999.9999989271</v>
      </c>
      <c r="H52" s="155">
        <f t="shared" si="11"/>
        <v>10000000</v>
      </c>
      <c r="I52" s="155">
        <f>+SUM(I50:I51)</f>
        <v>9999999.9992906451</v>
      </c>
      <c r="J52" s="169" t="e">
        <f t="shared" si="11"/>
        <v>#REF!</v>
      </c>
      <c r="K52" s="277"/>
      <c r="L52" s="17">
        <f>+L50+L51</f>
        <v>417325707</v>
      </c>
    </row>
    <row r="53" spans="1:12">
      <c r="D53" s="316" t="s">
        <v>658</v>
      </c>
      <c r="E53" s="316" t="s">
        <v>658</v>
      </c>
      <c r="F53" s="316" t="s">
        <v>658</v>
      </c>
      <c r="G53" s="316" t="s">
        <v>658</v>
      </c>
      <c r="H53" s="316" t="s">
        <v>658</v>
      </c>
      <c r="I53" s="316" t="s">
        <v>658</v>
      </c>
    </row>
    <row r="54" spans="1:12">
      <c r="B54" s="34"/>
      <c r="C54" s="34"/>
      <c r="D54" s="315"/>
      <c r="E54" s="315"/>
      <c r="F54" s="315"/>
      <c r="G54" s="315"/>
      <c r="H54" s="315"/>
      <c r="I54" s="315"/>
    </row>
    <row r="55" spans="1:12">
      <c r="A55" s="435" t="s">
        <v>105</v>
      </c>
      <c r="B55" s="435"/>
      <c r="C55" s="435"/>
      <c r="D55" s="435"/>
      <c r="E55" s="435"/>
      <c r="F55" s="435"/>
      <c r="G55" s="435"/>
      <c r="H55" s="435"/>
      <c r="I55" s="321">
        <v>0</v>
      </c>
    </row>
    <row r="69" spans="2:7">
      <c r="B69" s="34"/>
      <c r="C69" s="34"/>
      <c r="D69" s="28"/>
      <c r="E69" s="28"/>
      <c r="F69" s="28"/>
      <c r="G69" s="28"/>
    </row>
    <row r="108" spans="2:7">
      <c r="B108" s="34"/>
      <c r="C108" s="34"/>
      <c r="D108" s="28"/>
      <c r="E108" s="28"/>
      <c r="F108" s="28"/>
      <c r="G108" s="28"/>
    </row>
  </sheetData>
  <mergeCells count="8">
    <mergeCell ref="A55:H55"/>
    <mergeCell ref="B4:H4"/>
    <mergeCell ref="B5:H5"/>
    <mergeCell ref="B6:H6"/>
    <mergeCell ref="A7:A8"/>
    <mergeCell ref="C7:C8"/>
    <mergeCell ref="B7:B8"/>
    <mergeCell ref="D7:I7"/>
  </mergeCells>
  <pageMargins left="0.23622047244094491" right="0.15748031496062992" top="0.51181102362204722" bottom="0.39370078740157483" header="0.31496062992125984" footer="0.31496062992125984"/>
  <pageSetup scale="90" fitToHeight="2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W183"/>
  <sheetViews>
    <sheetView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L80" sqref="L80"/>
    </sheetView>
  </sheetViews>
  <sheetFormatPr defaultRowHeight="15.75"/>
  <cols>
    <col min="1" max="1" width="8.625" style="103" customWidth="1"/>
    <col min="2" max="2" width="34.25" style="103" customWidth="1"/>
    <col min="3" max="8" width="15.25" style="115" customWidth="1"/>
    <col min="9" max="9" width="14.5" style="117" customWidth="1"/>
    <col min="10" max="10" width="14.25" style="117" customWidth="1"/>
    <col min="11" max="11" width="9" style="103"/>
    <col min="12" max="12" width="15.75" style="103" bestFit="1" customWidth="1"/>
    <col min="13" max="13" width="13.875" style="103" customWidth="1"/>
    <col min="14" max="16384" width="9" style="103"/>
  </cols>
  <sheetData>
    <row r="1" spans="1:13">
      <c r="A1" s="102" t="s">
        <v>110</v>
      </c>
      <c r="B1" s="102" t="s">
        <v>111</v>
      </c>
      <c r="F1" s="170">
        <v>2012</v>
      </c>
    </row>
    <row r="2" spans="1:13">
      <c r="A2" s="102" t="s">
        <v>112</v>
      </c>
    </row>
    <row r="3" spans="1:13">
      <c r="C3" s="443" t="s">
        <v>530</v>
      </c>
      <c r="D3" s="444"/>
      <c r="E3" s="443" t="s">
        <v>531</v>
      </c>
      <c r="F3" s="444"/>
      <c r="G3" s="443" t="s">
        <v>532</v>
      </c>
      <c r="H3" s="444"/>
      <c r="I3" s="445" t="s">
        <v>533</v>
      </c>
      <c r="J3" s="445"/>
    </row>
    <row r="4" spans="1:13">
      <c r="A4" s="102"/>
      <c r="B4" s="102"/>
      <c r="C4" s="119" t="s">
        <v>272</v>
      </c>
      <c r="D4" s="119" t="s">
        <v>273</v>
      </c>
      <c r="E4" s="119" t="s">
        <v>272</v>
      </c>
      <c r="F4" s="119" t="s">
        <v>273</v>
      </c>
      <c r="G4" s="119" t="s">
        <v>272</v>
      </c>
      <c r="H4" s="119" t="s">
        <v>273</v>
      </c>
      <c r="I4" s="120" t="s">
        <v>272</v>
      </c>
      <c r="J4" s="120" t="s">
        <v>273</v>
      </c>
    </row>
    <row r="5" spans="1:13">
      <c r="A5" s="102" t="s">
        <v>118</v>
      </c>
      <c r="B5" s="102" t="s">
        <v>119</v>
      </c>
      <c r="C5" s="148">
        <v>10000000</v>
      </c>
      <c r="D5" s="121">
        <v>0</v>
      </c>
      <c r="E5" s="121">
        <v>146936508.84999999</v>
      </c>
      <c r="F5" s="121">
        <v>152468508.84999999</v>
      </c>
      <c r="G5" s="148">
        <v>4468000</v>
      </c>
      <c r="H5" s="121">
        <v>0</v>
      </c>
      <c r="I5" s="122">
        <f t="shared" ref="I5:I16" si="0">G5-C5</f>
        <v>-5532000</v>
      </c>
      <c r="J5" s="122"/>
      <c r="L5" s="147">
        <f>+E5-F5</f>
        <v>-5532000</v>
      </c>
    </row>
    <row r="6" spans="1:13">
      <c r="A6" s="102" t="s">
        <v>141</v>
      </c>
      <c r="B6" s="102" t="s">
        <v>142</v>
      </c>
      <c r="C6" s="149">
        <v>72281613544.350006</v>
      </c>
      <c r="D6" s="123">
        <v>0</v>
      </c>
      <c r="E6" s="123">
        <v>0</v>
      </c>
      <c r="F6" s="123">
        <v>70000010000</v>
      </c>
      <c r="G6" s="149">
        <v>2281603544.3500099</v>
      </c>
      <c r="H6" s="123">
        <v>0</v>
      </c>
      <c r="I6" s="124">
        <f t="shared" si="0"/>
        <v>-70000010000</v>
      </c>
      <c r="J6" s="124"/>
      <c r="L6" s="147">
        <f t="shared" ref="L6:L10" si="1">+E6-F6</f>
        <v>-70000010000</v>
      </c>
    </row>
    <row r="7" spans="1:13">
      <c r="A7" s="102" t="s">
        <v>127</v>
      </c>
      <c r="B7" s="102" t="s">
        <v>128</v>
      </c>
      <c r="C7" s="149">
        <v>652607.74</v>
      </c>
      <c r="D7" s="123">
        <v>0</v>
      </c>
      <c r="E7" s="123">
        <v>268297112.5</v>
      </c>
      <c r="F7" s="123">
        <v>268812113</v>
      </c>
      <c r="G7" s="149">
        <v>137607.24</v>
      </c>
      <c r="H7" s="123">
        <v>0</v>
      </c>
      <c r="I7" s="124">
        <f t="shared" si="0"/>
        <v>-515000.5</v>
      </c>
      <c r="J7" s="124"/>
      <c r="L7" s="147">
        <f t="shared" si="1"/>
        <v>-515000.5</v>
      </c>
    </row>
    <row r="8" spans="1:13">
      <c r="A8" s="102" t="s">
        <v>135</v>
      </c>
      <c r="B8" s="102" t="s">
        <v>136</v>
      </c>
      <c r="C8" s="149">
        <v>713249.55</v>
      </c>
      <c r="D8" s="123">
        <v>0</v>
      </c>
      <c r="E8" s="123">
        <v>1196931.49</v>
      </c>
      <c r="F8" s="123">
        <v>121655.66000000002</v>
      </c>
      <c r="G8" s="149">
        <v>1788525.38</v>
      </c>
      <c r="H8" s="123">
        <v>0</v>
      </c>
      <c r="I8" s="124">
        <f t="shared" si="0"/>
        <v>1075275.8299999998</v>
      </c>
      <c r="J8" s="124"/>
      <c r="L8" s="147">
        <f t="shared" si="1"/>
        <v>1075275.83</v>
      </c>
    </row>
    <row r="9" spans="1:13">
      <c r="A9" s="102" t="s">
        <v>143</v>
      </c>
      <c r="B9" s="102" t="s">
        <v>144</v>
      </c>
      <c r="C9" s="149">
        <v>1641620.4</v>
      </c>
      <c r="D9" s="123">
        <v>0</v>
      </c>
      <c r="E9" s="123">
        <v>69481100.900000006</v>
      </c>
      <c r="F9" s="123">
        <v>69528404.180000007</v>
      </c>
      <c r="G9" s="149">
        <v>1594317.12</v>
      </c>
      <c r="H9" s="123">
        <v>0</v>
      </c>
      <c r="I9" s="124">
        <f t="shared" si="0"/>
        <v>-47303.279999999795</v>
      </c>
      <c r="J9" s="124"/>
      <c r="L9" s="147">
        <f t="shared" si="1"/>
        <v>-47303.280000001192</v>
      </c>
    </row>
    <row r="10" spans="1:13">
      <c r="A10" s="102" t="s">
        <v>131</v>
      </c>
      <c r="B10" s="102" t="s">
        <v>132</v>
      </c>
      <c r="C10" s="149">
        <v>92595445</v>
      </c>
      <c r="D10" s="123">
        <v>0</v>
      </c>
      <c r="E10" s="123">
        <v>154946789255</v>
      </c>
      <c r="F10" s="123">
        <v>154744754910</v>
      </c>
      <c r="G10" s="149">
        <v>294629790</v>
      </c>
      <c r="H10" s="123">
        <v>0</v>
      </c>
      <c r="I10" s="124">
        <f t="shared" si="0"/>
        <v>202034345</v>
      </c>
      <c r="J10" s="124"/>
      <c r="L10" s="147">
        <f t="shared" si="1"/>
        <v>202034345</v>
      </c>
    </row>
    <row r="11" spans="1:13">
      <c r="A11" s="102" t="s">
        <v>121</v>
      </c>
      <c r="B11" s="102" t="s">
        <v>122</v>
      </c>
      <c r="C11" s="149">
        <v>39741098167</v>
      </c>
      <c r="D11" s="123">
        <v>0</v>
      </c>
      <c r="E11" s="123">
        <v>669329114813</v>
      </c>
      <c r="F11" s="123">
        <v>653419265157</v>
      </c>
      <c r="G11" s="149">
        <v>55650947823</v>
      </c>
      <c r="H11" s="123">
        <v>0</v>
      </c>
      <c r="I11" s="124">
        <f t="shared" si="0"/>
        <v>15909849656</v>
      </c>
      <c r="J11" s="124"/>
      <c r="L11" s="147">
        <f>+E11-F11</f>
        <v>15909849656</v>
      </c>
    </row>
    <row r="12" spans="1:13">
      <c r="A12" s="102" t="s">
        <v>123</v>
      </c>
      <c r="B12" s="102" t="s">
        <v>124</v>
      </c>
      <c r="C12" s="149">
        <v>100000</v>
      </c>
      <c r="D12" s="123">
        <v>0</v>
      </c>
      <c r="E12" s="123">
        <v>0</v>
      </c>
      <c r="F12" s="123">
        <v>0</v>
      </c>
      <c r="G12" s="149">
        <v>100000</v>
      </c>
      <c r="H12" s="123">
        <v>0</v>
      </c>
      <c r="I12" s="124">
        <f t="shared" si="0"/>
        <v>0</v>
      </c>
      <c r="J12" s="124"/>
    </row>
    <row r="13" spans="1:13">
      <c r="A13" s="102" t="s">
        <v>274</v>
      </c>
      <c r="B13" s="102" t="s">
        <v>275</v>
      </c>
      <c r="C13" s="149">
        <v>0</v>
      </c>
      <c r="D13" s="123">
        <v>0</v>
      </c>
      <c r="E13" s="123">
        <v>405151388000</v>
      </c>
      <c r="F13" s="123">
        <v>405151388000</v>
      </c>
      <c r="G13" s="149">
        <v>0</v>
      </c>
      <c r="H13" s="123">
        <v>0</v>
      </c>
      <c r="I13" s="124">
        <f t="shared" si="0"/>
        <v>0</v>
      </c>
      <c r="J13" s="124"/>
    </row>
    <row r="14" spans="1:13">
      <c r="A14" s="102" t="s">
        <v>276</v>
      </c>
      <c r="B14" s="102" t="s">
        <v>277</v>
      </c>
      <c r="C14" s="149">
        <v>0</v>
      </c>
      <c r="D14" s="123">
        <v>0</v>
      </c>
      <c r="E14" s="123">
        <v>17653324232.380001</v>
      </c>
      <c r="F14" s="123">
        <v>17653324232.380001</v>
      </c>
      <c r="G14" s="149">
        <v>0</v>
      </c>
      <c r="H14" s="123">
        <v>0</v>
      </c>
      <c r="I14" s="124">
        <f t="shared" si="0"/>
        <v>0</v>
      </c>
      <c r="J14" s="124"/>
    </row>
    <row r="15" spans="1:13">
      <c r="A15" s="102" t="s">
        <v>278</v>
      </c>
      <c r="B15" s="102" t="s">
        <v>279</v>
      </c>
      <c r="C15" s="149">
        <v>0</v>
      </c>
      <c r="D15" s="123">
        <v>0</v>
      </c>
      <c r="E15" s="123">
        <v>170852705250.23001</v>
      </c>
      <c r="F15" s="123">
        <v>170852705250.23001</v>
      </c>
      <c r="G15" s="149">
        <v>0</v>
      </c>
      <c r="H15" s="123">
        <v>0</v>
      </c>
      <c r="I15" s="124">
        <f t="shared" si="0"/>
        <v>0</v>
      </c>
      <c r="J15" s="124"/>
      <c r="L15" s="147">
        <f>+SUM(I5:I20)</f>
        <v>-44820071582.459961</v>
      </c>
      <c r="M15" s="103" t="s">
        <v>613</v>
      </c>
    </row>
    <row r="16" spans="1:13">
      <c r="A16" s="102" t="s">
        <v>145</v>
      </c>
      <c r="B16" s="102" t="s">
        <v>146</v>
      </c>
      <c r="C16" s="149">
        <v>0</v>
      </c>
      <c r="D16" s="123">
        <v>0</v>
      </c>
      <c r="E16" s="123">
        <v>1000000</v>
      </c>
      <c r="F16" s="123">
        <v>0</v>
      </c>
      <c r="G16" s="149">
        <v>1000000</v>
      </c>
      <c r="H16" s="123">
        <v>0</v>
      </c>
      <c r="I16" s="124">
        <f t="shared" si="0"/>
        <v>1000000</v>
      </c>
      <c r="J16" s="124"/>
      <c r="L16" s="147">
        <f>+L15-L21</f>
        <v>0</v>
      </c>
    </row>
    <row r="17" spans="1:13">
      <c r="A17" s="102" t="s">
        <v>149</v>
      </c>
      <c r="B17" s="102" t="s">
        <v>150</v>
      </c>
      <c r="C17" s="149">
        <v>2261801434.46</v>
      </c>
      <c r="D17" s="123">
        <v>0</v>
      </c>
      <c r="E17" s="123">
        <v>117985550845.28</v>
      </c>
      <c r="F17" s="123">
        <v>110998002749.51997</v>
      </c>
      <c r="G17" s="149">
        <v>9249349530.2200203</v>
      </c>
      <c r="H17" s="123">
        <v>0</v>
      </c>
      <c r="I17" s="124">
        <f t="shared" ref="I17:I19" si="2">G17-C17</f>
        <v>6987548095.7600203</v>
      </c>
      <c r="J17" s="124"/>
    </row>
    <row r="18" spans="1:13">
      <c r="A18" s="102" t="s">
        <v>139</v>
      </c>
      <c r="B18" s="102" t="s">
        <v>140</v>
      </c>
      <c r="C18" s="149">
        <v>890273394.24000001</v>
      </c>
      <c r="D18" s="123">
        <v>0</v>
      </c>
      <c r="E18" s="123">
        <v>35927275677.170006</v>
      </c>
      <c r="F18" s="123">
        <v>36787536404.209999</v>
      </c>
      <c r="G18" s="149">
        <v>30012667.200004883</v>
      </c>
      <c r="H18" s="123">
        <v>0</v>
      </c>
      <c r="I18" s="124">
        <f t="shared" si="2"/>
        <v>-860260727.03999507</v>
      </c>
      <c r="J18" s="124"/>
      <c r="L18" s="157">
        <f>+SUM(C5:C20)</f>
        <v>116639368894.74002</v>
      </c>
      <c r="M18" s="158" t="s">
        <v>543</v>
      </c>
    </row>
    <row r="19" spans="1:13">
      <c r="A19" s="102" t="s">
        <v>137</v>
      </c>
      <c r="B19" s="102" t="s">
        <v>138</v>
      </c>
      <c r="C19" s="149">
        <v>1358879432</v>
      </c>
      <c r="D19" s="123">
        <v>0</v>
      </c>
      <c r="E19" s="123">
        <v>2110287566</v>
      </c>
      <c r="F19" s="123">
        <v>0</v>
      </c>
      <c r="G19" s="149">
        <v>3469166998</v>
      </c>
      <c r="H19" s="123">
        <v>0</v>
      </c>
      <c r="I19" s="124">
        <f t="shared" si="2"/>
        <v>2110287566</v>
      </c>
      <c r="J19" s="124"/>
      <c r="L19" s="157">
        <f>+SUM(G5:G20)</f>
        <v>71819297312.280045</v>
      </c>
      <c r="M19" s="158" t="s">
        <v>544</v>
      </c>
    </row>
    <row r="20" spans="1:13">
      <c r="A20" s="102" t="s">
        <v>151</v>
      </c>
      <c r="B20" s="102" t="s">
        <v>152</v>
      </c>
      <c r="C20" s="149">
        <v>0</v>
      </c>
      <c r="D20" s="123">
        <v>0</v>
      </c>
      <c r="E20" s="123">
        <v>35834498509.770012</v>
      </c>
      <c r="F20" s="123">
        <v>35000000000</v>
      </c>
      <c r="G20" s="149">
        <v>834498509.77000976</v>
      </c>
      <c r="H20" s="123">
        <v>0</v>
      </c>
      <c r="I20" s="124">
        <f t="shared" ref="I20" si="3">G20-C20</f>
        <v>834498509.77000976</v>
      </c>
      <c r="J20" s="124"/>
    </row>
    <row r="21" spans="1:13">
      <c r="A21" s="102" t="s">
        <v>147</v>
      </c>
      <c r="B21" s="102" t="s">
        <v>148</v>
      </c>
      <c r="C21" s="123">
        <v>20000000000</v>
      </c>
      <c r="D21" s="123">
        <v>0</v>
      </c>
      <c r="E21" s="123">
        <v>0</v>
      </c>
      <c r="F21" s="123">
        <v>0</v>
      </c>
      <c r="G21" s="123">
        <v>20000000000</v>
      </c>
      <c r="H21" s="123">
        <v>0</v>
      </c>
      <c r="I21" s="124">
        <f>G21-C21</f>
        <v>0</v>
      </c>
      <c r="J21" s="124"/>
      <c r="L21" s="147">
        <f>+L19-L18</f>
        <v>-44820071582.459976</v>
      </c>
      <c r="M21" s="103" t="s">
        <v>545</v>
      </c>
    </row>
    <row r="22" spans="1:13">
      <c r="A22" s="102" t="s">
        <v>125</v>
      </c>
      <c r="B22" s="102" t="s">
        <v>126</v>
      </c>
      <c r="C22" s="123">
        <v>0</v>
      </c>
      <c r="D22" s="123">
        <v>0</v>
      </c>
      <c r="E22" s="123">
        <v>25000000000</v>
      </c>
      <c r="F22" s="123">
        <v>0</v>
      </c>
      <c r="G22" s="123">
        <v>25000000000</v>
      </c>
      <c r="H22" s="123">
        <v>0</v>
      </c>
      <c r="I22" s="124">
        <f t="shared" ref="I22:I25" si="4">G22-C22</f>
        <v>25000000000</v>
      </c>
      <c r="J22" s="124"/>
      <c r="L22" s="147">
        <f>+L18</f>
        <v>116639368894.74002</v>
      </c>
      <c r="M22" s="103" t="s">
        <v>546</v>
      </c>
    </row>
    <row r="23" spans="1:13">
      <c r="A23" s="102" t="s">
        <v>280</v>
      </c>
      <c r="B23" s="102" t="s">
        <v>281</v>
      </c>
      <c r="C23" s="123">
        <v>0</v>
      </c>
      <c r="D23" s="123">
        <v>0</v>
      </c>
      <c r="E23" s="123">
        <v>30000000000</v>
      </c>
      <c r="F23" s="123">
        <v>30000000000</v>
      </c>
      <c r="G23" s="123">
        <v>0</v>
      </c>
      <c r="H23" s="123">
        <v>0</v>
      </c>
      <c r="I23" s="124">
        <f t="shared" si="4"/>
        <v>0</v>
      </c>
      <c r="J23" s="124"/>
      <c r="L23" s="147">
        <f>+SUM(L21:L22)</f>
        <v>71819297312.280045</v>
      </c>
    </row>
    <row r="24" spans="1:13">
      <c r="A24" s="102" t="s">
        <v>129</v>
      </c>
      <c r="B24" s="102" t="s">
        <v>130</v>
      </c>
      <c r="C24" s="123">
        <v>0</v>
      </c>
      <c r="D24" s="123">
        <v>0</v>
      </c>
      <c r="E24" s="123">
        <v>5000000000</v>
      </c>
      <c r="F24" s="123">
        <v>0</v>
      </c>
      <c r="G24" s="123">
        <v>5000000000</v>
      </c>
      <c r="H24" s="123">
        <v>0</v>
      </c>
      <c r="I24" s="124">
        <f t="shared" si="4"/>
        <v>5000000000</v>
      </c>
      <c r="J24" s="124"/>
    </row>
    <row r="25" spans="1:13">
      <c r="A25" s="102" t="s">
        <v>133</v>
      </c>
      <c r="B25" s="102" t="s">
        <v>134</v>
      </c>
      <c r="C25" s="123">
        <v>0</v>
      </c>
      <c r="D25" s="123">
        <v>0</v>
      </c>
      <c r="E25" s="123">
        <v>35000000000</v>
      </c>
      <c r="F25" s="123">
        <v>0</v>
      </c>
      <c r="G25" s="123">
        <v>35000000000</v>
      </c>
      <c r="H25" s="123">
        <v>0</v>
      </c>
      <c r="I25" s="124">
        <f t="shared" si="4"/>
        <v>35000000000</v>
      </c>
      <c r="J25" s="124"/>
    </row>
    <row r="26" spans="1:13">
      <c r="A26" s="102" t="s">
        <v>201</v>
      </c>
      <c r="B26" s="102" t="s">
        <v>202</v>
      </c>
      <c r="C26" s="123">
        <v>169863014</v>
      </c>
      <c r="D26" s="123">
        <v>0</v>
      </c>
      <c r="E26" s="123">
        <v>5824469182</v>
      </c>
      <c r="F26" s="123">
        <v>5332625574.7299995</v>
      </c>
      <c r="G26" s="123">
        <v>661706621.27000058</v>
      </c>
      <c r="H26" s="123">
        <v>0</v>
      </c>
      <c r="I26" s="129">
        <f>G26-C26</f>
        <v>491843607.27000058</v>
      </c>
      <c r="J26" s="124"/>
    </row>
    <row r="27" spans="1:13">
      <c r="A27" s="172" t="s">
        <v>217</v>
      </c>
      <c r="B27" s="102" t="s">
        <v>218</v>
      </c>
      <c r="C27" s="123">
        <v>136517614</v>
      </c>
      <c r="D27" s="123">
        <v>0</v>
      </c>
      <c r="E27" s="123">
        <v>18938509</v>
      </c>
      <c r="F27" s="123">
        <v>342</v>
      </c>
      <c r="G27" s="123">
        <v>155455781</v>
      </c>
      <c r="H27" s="123">
        <v>0</v>
      </c>
      <c r="I27" s="173">
        <f t="shared" ref="I27:I49" si="5">G27-C27</f>
        <v>18938167</v>
      </c>
      <c r="J27" s="124"/>
    </row>
    <row r="28" spans="1:13">
      <c r="A28" s="172" t="s">
        <v>215</v>
      </c>
      <c r="B28" s="102" t="s">
        <v>216</v>
      </c>
      <c r="C28" s="123">
        <v>11888910</v>
      </c>
      <c r="D28" s="123">
        <v>0</v>
      </c>
      <c r="E28" s="123">
        <v>0</v>
      </c>
      <c r="F28" s="123">
        <v>0</v>
      </c>
      <c r="G28" s="123">
        <v>11888910</v>
      </c>
      <c r="H28" s="123">
        <v>0</v>
      </c>
      <c r="I28" s="173">
        <f t="shared" si="5"/>
        <v>0</v>
      </c>
      <c r="J28" s="124"/>
    </row>
    <row r="29" spans="1:13">
      <c r="A29" s="172" t="s">
        <v>282</v>
      </c>
      <c r="B29" s="102" t="s">
        <v>283</v>
      </c>
      <c r="C29" s="123">
        <v>0</v>
      </c>
      <c r="D29" s="123">
        <v>0</v>
      </c>
      <c r="E29" s="123">
        <v>4449332</v>
      </c>
      <c r="F29" s="123">
        <v>4449332</v>
      </c>
      <c r="G29" s="123">
        <v>0</v>
      </c>
      <c r="H29" s="123">
        <v>0</v>
      </c>
      <c r="I29" s="173">
        <f>G29-C29</f>
        <v>0</v>
      </c>
      <c r="J29" s="124"/>
    </row>
    <row r="30" spans="1:13">
      <c r="A30" s="102">
        <v>1201181</v>
      </c>
      <c r="B30" s="102" t="s">
        <v>160</v>
      </c>
      <c r="C30" s="123">
        <v>4284683</v>
      </c>
      <c r="D30" s="123">
        <v>0</v>
      </c>
      <c r="E30" s="123">
        <v>23279067826</v>
      </c>
      <c r="F30" s="123">
        <v>23224531620</v>
      </c>
      <c r="G30" s="123">
        <v>58820889</v>
      </c>
      <c r="H30" s="123">
        <v>0</v>
      </c>
      <c r="I30" s="130">
        <f>G30-C30</f>
        <v>54536206</v>
      </c>
      <c r="J30" s="124"/>
    </row>
    <row r="31" spans="1:13">
      <c r="A31" s="102" t="s">
        <v>162</v>
      </c>
      <c r="B31" s="102" t="s">
        <v>163</v>
      </c>
      <c r="C31" s="123">
        <v>23823233</v>
      </c>
      <c r="D31" s="123">
        <v>0</v>
      </c>
      <c r="E31" s="123">
        <v>5742141356</v>
      </c>
      <c r="F31" s="123">
        <v>5765964589</v>
      </c>
      <c r="G31" s="123">
        <v>0</v>
      </c>
      <c r="H31" s="123">
        <v>0</v>
      </c>
      <c r="I31" s="130">
        <f>G31-C31</f>
        <v>-23823233</v>
      </c>
      <c r="J31" s="124"/>
    </row>
    <row r="32" spans="1:13">
      <c r="A32" s="102" t="s">
        <v>203</v>
      </c>
      <c r="B32" s="102" t="s">
        <v>204</v>
      </c>
      <c r="C32" s="123">
        <v>0</v>
      </c>
      <c r="D32" s="123">
        <v>0</v>
      </c>
      <c r="E32" s="123">
        <v>1024442620</v>
      </c>
      <c r="F32" s="123">
        <v>488583100</v>
      </c>
      <c r="G32" s="123">
        <v>535859520</v>
      </c>
      <c r="H32" s="123">
        <v>0</v>
      </c>
      <c r="I32" s="129">
        <f t="shared" si="5"/>
        <v>535859520</v>
      </c>
      <c r="J32" s="124"/>
      <c r="L32" s="180">
        <f>-SUM('TB 2012'!I35:I43)/1000-SUM('TB 2012'!I27:I29)/1000</f>
        <v>-197710.09852000006</v>
      </c>
    </row>
    <row r="33" spans="1:12">
      <c r="A33" s="102">
        <v>1302216</v>
      </c>
      <c r="B33" s="102" t="s">
        <v>155</v>
      </c>
      <c r="C33" s="123">
        <v>117180970</v>
      </c>
      <c r="D33" s="123">
        <v>0</v>
      </c>
      <c r="E33" s="123">
        <v>554659940.07999992</v>
      </c>
      <c r="F33" s="123">
        <v>197620970</v>
      </c>
      <c r="G33" s="123">
        <v>474219940.07999992</v>
      </c>
      <c r="H33" s="123">
        <v>0</v>
      </c>
      <c r="I33" s="130">
        <f>G33-C33</f>
        <v>357038970.07999992</v>
      </c>
      <c r="J33" s="124"/>
    </row>
    <row r="34" spans="1:12">
      <c r="A34" s="102">
        <v>1302218</v>
      </c>
      <c r="B34" s="102" t="s">
        <v>157</v>
      </c>
      <c r="C34" s="123">
        <v>0</v>
      </c>
      <c r="D34" s="131">
        <v>37250970</v>
      </c>
      <c r="E34" s="123">
        <v>401906494.95999998</v>
      </c>
      <c r="F34" s="123">
        <v>323955265.03000003</v>
      </c>
      <c r="G34" s="123">
        <v>40700259.93</v>
      </c>
      <c r="H34" s="123">
        <v>0</v>
      </c>
      <c r="I34" s="132">
        <f>G34-C34+D34</f>
        <v>77951229.930000007</v>
      </c>
      <c r="J34" s="124"/>
      <c r="L34" s="147">
        <f>+E34-F34</f>
        <v>77951229.929999948</v>
      </c>
    </row>
    <row r="35" spans="1:12">
      <c r="A35" s="102" t="s">
        <v>165</v>
      </c>
      <c r="B35" s="102" t="s">
        <v>166</v>
      </c>
      <c r="C35" s="123">
        <v>61100181</v>
      </c>
      <c r="D35" s="123">
        <v>0</v>
      </c>
      <c r="E35" s="123">
        <v>4846066</v>
      </c>
      <c r="F35" s="123">
        <v>59977664</v>
      </c>
      <c r="G35" s="123">
        <v>5968583</v>
      </c>
      <c r="H35" s="123">
        <v>0</v>
      </c>
      <c r="I35" s="130">
        <f t="shared" si="5"/>
        <v>-55131598</v>
      </c>
      <c r="J35" s="124"/>
      <c r="L35" s="147">
        <f t="shared" ref="L35:L49" si="6">+E35-F35</f>
        <v>-55131598</v>
      </c>
    </row>
    <row r="36" spans="1:12">
      <c r="A36" s="102" t="s">
        <v>171</v>
      </c>
      <c r="B36" s="102" t="s">
        <v>172</v>
      </c>
      <c r="C36" s="123">
        <v>27761355.850000001</v>
      </c>
      <c r="D36" s="123">
        <v>0</v>
      </c>
      <c r="E36" s="123">
        <v>99581906.229999974</v>
      </c>
      <c r="F36" s="123">
        <v>127343262.07999998</v>
      </c>
      <c r="G36" s="123">
        <v>0</v>
      </c>
      <c r="H36" s="123">
        <v>0</v>
      </c>
      <c r="I36" s="130">
        <f t="shared" si="5"/>
        <v>-27761355.850000001</v>
      </c>
      <c r="J36" s="124"/>
      <c r="L36" s="147">
        <f t="shared" si="6"/>
        <v>-27761355.850000009</v>
      </c>
    </row>
    <row r="37" spans="1:12">
      <c r="A37" s="102" t="s">
        <v>167</v>
      </c>
      <c r="B37" s="102" t="s">
        <v>168</v>
      </c>
      <c r="C37" s="123">
        <v>27382363.629999999</v>
      </c>
      <c r="D37" s="123">
        <v>0</v>
      </c>
      <c r="E37" s="123">
        <v>6845600</v>
      </c>
      <c r="F37" s="123">
        <v>34227963.630000003</v>
      </c>
      <c r="G37" s="123">
        <v>0</v>
      </c>
      <c r="H37" s="123">
        <v>4.7683715820312501E-9</v>
      </c>
      <c r="I37" s="130">
        <f>G37-C37</f>
        <v>-27382363.629999999</v>
      </c>
      <c r="J37" s="124"/>
      <c r="L37" s="147">
        <f t="shared" si="6"/>
        <v>-27382363.630000003</v>
      </c>
    </row>
    <row r="38" spans="1:12">
      <c r="A38" s="102" t="s">
        <v>284</v>
      </c>
      <c r="B38" s="102" t="s">
        <v>285</v>
      </c>
      <c r="C38" s="123">
        <v>0</v>
      </c>
      <c r="D38" s="123">
        <v>0</v>
      </c>
      <c r="E38" s="123">
        <v>94848000</v>
      </c>
      <c r="F38" s="123">
        <v>94848000</v>
      </c>
      <c r="G38" s="123">
        <v>0</v>
      </c>
      <c r="H38" s="123">
        <v>0</v>
      </c>
      <c r="I38" s="130">
        <f t="shared" si="5"/>
        <v>0</v>
      </c>
      <c r="J38" s="124"/>
      <c r="L38" s="147">
        <f t="shared" si="6"/>
        <v>0</v>
      </c>
    </row>
    <row r="39" spans="1:12">
      <c r="A39" s="102" t="s">
        <v>169</v>
      </c>
      <c r="B39" s="102" t="s">
        <v>170</v>
      </c>
      <c r="C39" s="123">
        <v>36400000</v>
      </c>
      <c r="D39" s="123">
        <v>0</v>
      </c>
      <c r="E39" s="123">
        <v>243979076</v>
      </c>
      <c r="F39" s="123">
        <v>279879076</v>
      </c>
      <c r="G39" s="123">
        <v>500000</v>
      </c>
      <c r="H39" s="123">
        <v>0</v>
      </c>
      <c r="I39" s="130">
        <f t="shared" si="5"/>
        <v>-35900000</v>
      </c>
      <c r="J39" s="124"/>
      <c r="L39" s="147">
        <f>+E39-F39</f>
        <v>-35900000</v>
      </c>
    </row>
    <row r="40" spans="1:12">
      <c r="A40" s="102" t="s">
        <v>210</v>
      </c>
      <c r="B40" s="102" t="s">
        <v>211</v>
      </c>
      <c r="C40" s="123">
        <v>23950902.469999999</v>
      </c>
      <c r="D40" s="123">
        <v>0</v>
      </c>
      <c r="E40" s="123">
        <v>972552382.15999997</v>
      </c>
      <c r="F40" s="123">
        <v>555734229.16999996</v>
      </c>
      <c r="G40" s="123">
        <v>440769055.4600001</v>
      </c>
      <c r="H40" s="123">
        <v>0</v>
      </c>
      <c r="I40" s="130">
        <f t="shared" si="5"/>
        <v>416818152.99000013</v>
      </c>
      <c r="J40" s="124"/>
      <c r="L40" s="147">
        <f t="shared" si="6"/>
        <v>416818152.99000001</v>
      </c>
    </row>
    <row r="41" spans="1:12">
      <c r="A41" s="102" t="s">
        <v>208</v>
      </c>
      <c r="B41" s="102" t="s">
        <v>209</v>
      </c>
      <c r="C41" s="123">
        <v>2097153.13</v>
      </c>
      <c r="D41" s="123">
        <v>0</v>
      </c>
      <c r="E41" s="123">
        <v>244753095.47999999</v>
      </c>
      <c r="F41" s="123">
        <v>126554193.65000001</v>
      </c>
      <c r="G41" s="123">
        <v>120296054.95999999</v>
      </c>
      <c r="H41" s="123">
        <v>0</v>
      </c>
      <c r="I41" s="130">
        <f t="shared" si="5"/>
        <v>118198901.83</v>
      </c>
      <c r="J41" s="124"/>
      <c r="L41" s="147">
        <f t="shared" si="6"/>
        <v>118198901.82999998</v>
      </c>
    </row>
    <row r="42" spans="1:12">
      <c r="A42" s="102" t="s">
        <v>206</v>
      </c>
      <c r="B42" s="102" t="s">
        <v>207</v>
      </c>
      <c r="C42" s="123">
        <v>215995907.5</v>
      </c>
      <c r="D42" s="123">
        <v>0</v>
      </c>
      <c r="E42" s="123">
        <v>5280000</v>
      </c>
      <c r="F42" s="123">
        <v>221059514.05000001</v>
      </c>
      <c r="G42" s="123">
        <v>216393.45</v>
      </c>
      <c r="H42" s="123">
        <v>0</v>
      </c>
      <c r="I42" s="130">
        <f t="shared" si="5"/>
        <v>-215779514.05000001</v>
      </c>
      <c r="J42" s="124"/>
      <c r="L42" s="147">
        <f t="shared" si="6"/>
        <v>-215779514.05000001</v>
      </c>
    </row>
    <row r="43" spans="1:12">
      <c r="A43" s="102" t="s">
        <v>212</v>
      </c>
      <c r="B43" s="102" t="s">
        <v>213</v>
      </c>
      <c r="C43" s="123">
        <v>0</v>
      </c>
      <c r="D43" s="123">
        <v>0</v>
      </c>
      <c r="E43" s="123">
        <v>9971500</v>
      </c>
      <c r="F43" s="123">
        <v>4261791.7699999996</v>
      </c>
      <c r="G43" s="123">
        <v>5709708.2300000004</v>
      </c>
      <c r="H43" s="123">
        <v>0</v>
      </c>
      <c r="I43" s="130">
        <f t="shared" si="5"/>
        <v>5709708.2300000004</v>
      </c>
      <c r="J43" s="124"/>
      <c r="L43" s="147">
        <f t="shared" si="6"/>
        <v>5709708.2300000004</v>
      </c>
    </row>
    <row r="44" spans="1:12">
      <c r="A44" s="171" t="s">
        <v>174</v>
      </c>
      <c r="B44" s="102" t="s">
        <v>175</v>
      </c>
      <c r="C44" s="123">
        <v>270213970.00999999</v>
      </c>
      <c r="D44" s="123">
        <v>0</v>
      </c>
      <c r="E44" s="123">
        <v>48000000</v>
      </c>
      <c r="F44" s="123">
        <v>10435920</v>
      </c>
      <c r="G44" s="123">
        <v>307778050.00999999</v>
      </c>
      <c r="H44" s="123">
        <v>0</v>
      </c>
      <c r="I44" s="216">
        <f>G44-C44</f>
        <v>37564080</v>
      </c>
      <c r="J44" s="124"/>
      <c r="L44" s="147">
        <f t="shared" si="6"/>
        <v>37564080</v>
      </c>
    </row>
    <row r="45" spans="1:12">
      <c r="A45" s="171" t="s">
        <v>179</v>
      </c>
      <c r="B45" s="102" t="s">
        <v>180</v>
      </c>
      <c r="C45" s="123">
        <v>615368000</v>
      </c>
      <c r="D45" s="123">
        <v>0</v>
      </c>
      <c r="E45" s="123">
        <v>14000000</v>
      </c>
      <c r="F45" s="123">
        <v>0</v>
      </c>
      <c r="G45" s="123">
        <v>629368000</v>
      </c>
      <c r="H45" s="123">
        <v>0</v>
      </c>
      <c r="I45" s="217">
        <f t="shared" si="5"/>
        <v>14000000</v>
      </c>
      <c r="J45" s="124"/>
      <c r="L45" s="147">
        <f t="shared" si="6"/>
        <v>14000000</v>
      </c>
    </row>
    <row r="46" spans="1:12">
      <c r="A46" s="171" t="s">
        <v>177</v>
      </c>
      <c r="B46" s="102" t="s">
        <v>178</v>
      </c>
      <c r="C46" s="123">
        <v>1539482051.8699999</v>
      </c>
      <c r="D46" s="123">
        <v>0</v>
      </c>
      <c r="E46" s="123">
        <v>8190000</v>
      </c>
      <c r="F46" s="123">
        <v>0</v>
      </c>
      <c r="G46" s="123">
        <v>1547672051.8699999</v>
      </c>
      <c r="H46" s="123">
        <v>0</v>
      </c>
      <c r="I46" s="217">
        <f t="shared" si="5"/>
        <v>8190000</v>
      </c>
      <c r="J46" s="124"/>
      <c r="L46" s="147">
        <f t="shared" si="6"/>
        <v>8190000</v>
      </c>
    </row>
    <row r="47" spans="1:12">
      <c r="A47" s="171" t="s">
        <v>183</v>
      </c>
      <c r="B47" s="102" t="s">
        <v>184</v>
      </c>
      <c r="C47" s="123">
        <v>574260874.07000005</v>
      </c>
      <c r="D47" s="123">
        <v>0</v>
      </c>
      <c r="E47" s="123">
        <v>79745150</v>
      </c>
      <c r="F47" s="123">
        <v>4264000</v>
      </c>
      <c r="G47" s="123">
        <v>649742024.07000005</v>
      </c>
      <c r="H47" s="123">
        <v>0</v>
      </c>
      <c r="I47" s="217">
        <f t="shared" si="5"/>
        <v>75481150</v>
      </c>
      <c r="J47" s="124"/>
      <c r="L47" s="147">
        <f t="shared" si="6"/>
        <v>75481150</v>
      </c>
    </row>
    <row r="48" spans="1:12">
      <c r="A48" s="171" t="s">
        <v>181</v>
      </c>
      <c r="B48" s="102" t="s">
        <v>182</v>
      </c>
      <c r="C48" s="123">
        <v>96539607.819999993</v>
      </c>
      <c r="D48" s="123">
        <v>0</v>
      </c>
      <c r="E48" s="123">
        <v>48308585</v>
      </c>
      <c r="F48" s="123">
        <v>6633000</v>
      </c>
      <c r="G48" s="123">
        <v>138215192.81999999</v>
      </c>
      <c r="H48" s="123">
        <v>0</v>
      </c>
      <c r="I48" s="217">
        <f t="shared" si="5"/>
        <v>41675585</v>
      </c>
      <c r="J48" s="124"/>
      <c r="L48" s="147">
        <f t="shared" si="6"/>
        <v>41675585</v>
      </c>
    </row>
    <row r="49" spans="1:13">
      <c r="A49" s="171" t="s">
        <v>185</v>
      </c>
      <c r="B49" s="102" t="s">
        <v>186</v>
      </c>
      <c r="C49" s="123">
        <v>373939162.11000001</v>
      </c>
      <c r="D49" s="123">
        <v>0</v>
      </c>
      <c r="E49" s="123">
        <v>8485500</v>
      </c>
      <c r="F49" s="123">
        <v>1335000</v>
      </c>
      <c r="G49" s="123">
        <v>381089662.11000001</v>
      </c>
      <c r="H49" s="123">
        <v>0</v>
      </c>
      <c r="I49" s="217">
        <f t="shared" si="5"/>
        <v>7150500</v>
      </c>
      <c r="J49" s="124"/>
      <c r="L49" s="147">
        <f t="shared" si="6"/>
        <v>7150500</v>
      </c>
    </row>
    <row r="50" spans="1:13">
      <c r="A50" s="102" t="s">
        <v>198</v>
      </c>
      <c r="B50" s="102" t="s">
        <v>199</v>
      </c>
      <c r="C50" s="123">
        <v>0</v>
      </c>
      <c r="D50" s="123">
        <v>33563188.439999998</v>
      </c>
      <c r="E50" s="123">
        <v>10435920</v>
      </c>
      <c r="F50" s="123">
        <v>35543316.400000013</v>
      </c>
      <c r="G50" s="123">
        <v>0</v>
      </c>
      <c r="H50" s="123">
        <v>58670584.840000018</v>
      </c>
      <c r="I50" s="124"/>
      <c r="J50" s="129">
        <f>H50-D50</f>
        <v>25107396.400000021</v>
      </c>
    </row>
    <row r="51" spans="1:13">
      <c r="A51" s="102" t="s">
        <v>196</v>
      </c>
      <c r="B51" s="102" t="s">
        <v>197</v>
      </c>
      <c r="C51" s="123">
        <v>0</v>
      </c>
      <c r="D51" s="123">
        <v>119766962.23</v>
      </c>
      <c r="E51" s="123">
        <v>0</v>
      </c>
      <c r="F51" s="123">
        <v>124442352.95000003</v>
      </c>
      <c r="G51" s="123">
        <v>0</v>
      </c>
      <c r="H51" s="123">
        <v>244209315.18000004</v>
      </c>
      <c r="I51" s="124"/>
      <c r="J51" s="129">
        <f t="shared" ref="J51:J78" si="7">H51-D51</f>
        <v>124442352.95000003</v>
      </c>
    </row>
    <row r="52" spans="1:13">
      <c r="A52" s="102" t="s">
        <v>190</v>
      </c>
      <c r="B52" s="102" t="s">
        <v>191</v>
      </c>
      <c r="C52" s="123">
        <v>0</v>
      </c>
      <c r="D52" s="123">
        <v>150658178.90000001</v>
      </c>
      <c r="E52" s="123">
        <v>27897.870000000006</v>
      </c>
      <c r="F52" s="123">
        <v>155817860.18000007</v>
      </c>
      <c r="G52" s="123">
        <v>0</v>
      </c>
      <c r="H52" s="123">
        <v>306448141.2100001</v>
      </c>
      <c r="I52" s="124"/>
      <c r="J52" s="129">
        <f t="shared" si="7"/>
        <v>155789962.31000009</v>
      </c>
    </row>
    <row r="53" spans="1:13">
      <c r="A53" s="102" t="s">
        <v>188</v>
      </c>
      <c r="B53" s="102" t="s">
        <v>189</v>
      </c>
      <c r="C53" s="123">
        <v>0</v>
      </c>
      <c r="D53" s="123">
        <v>49361920.759999998</v>
      </c>
      <c r="E53" s="123">
        <v>506325.48</v>
      </c>
      <c r="F53" s="123">
        <v>63897226.840000026</v>
      </c>
      <c r="G53" s="123">
        <v>0</v>
      </c>
      <c r="H53" s="123">
        <v>112752822.12000003</v>
      </c>
      <c r="I53" s="124"/>
      <c r="J53" s="129">
        <f t="shared" si="7"/>
        <v>63390901.360000037</v>
      </c>
    </row>
    <row r="54" spans="1:13">
      <c r="A54" s="102" t="s">
        <v>194</v>
      </c>
      <c r="B54" s="102" t="s">
        <v>195</v>
      </c>
      <c r="C54" s="123">
        <v>0</v>
      </c>
      <c r="D54" s="123">
        <v>7995341.2000000002</v>
      </c>
      <c r="E54" s="123">
        <v>579192.19999999995</v>
      </c>
      <c r="F54" s="123">
        <v>12830355.130000001</v>
      </c>
      <c r="G54" s="123">
        <v>0</v>
      </c>
      <c r="H54" s="123">
        <v>20246504.129999999</v>
      </c>
      <c r="I54" s="124"/>
      <c r="J54" s="129">
        <f t="shared" si="7"/>
        <v>12251162.93</v>
      </c>
    </row>
    <row r="55" spans="1:13">
      <c r="A55" s="102" t="s">
        <v>192</v>
      </c>
      <c r="B55" s="102" t="s">
        <v>193</v>
      </c>
      <c r="C55" s="123">
        <v>0</v>
      </c>
      <c r="D55" s="123">
        <v>35686254</v>
      </c>
      <c r="E55" s="123">
        <v>260933.48</v>
      </c>
      <c r="F55" s="123">
        <v>37978166.580000006</v>
      </c>
      <c r="G55" s="123">
        <v>0</v>
      </c>
      <c r="H55" s="123">
        <v>73403487.099999994</v>
      </c>
      <c r="I55" s="124"/>
      <c r="J55" s="129">
        <f t="shared" si="7"/>
        <v>37717233.099999994</v>
      </c>
    </row>
    <row r="56" spans="1:13">
      <c r="A56" s="102" t="s">
        <v>286</v>
      </c>
      <c r="B56" s="102" t="s">
        <v>287</v>
      </c>
      <c r="C56" s="123">
        <v>0</v>
      </c>
      <c r="D56" s="123">
        <v>0</v>
      </c>
      <c r="E56" s="123">
        <v>24371500</v>
      </c>
      <c r="F56" s="123">
        <v>24371500</v>
      </c>
      <c r="G56" s="123">
        <v>0</v>
      </c>
      <c r="H56" s="123">
        <v>0</v>
      </c>
      <c r="I56" s="124"/>
      <c r="J56" s="124">
        <f t="shared" si="7"/>
        <v>0</v>
      </c>
    </row>
    <row r="57" spans="1:13">
      <c r="A57" s="102" t="s">
        <v>227</v>
      </c>
      <c r="B57" s="102" t="s">
        <v>228</v>
      </c>
      <c r="C57" s="123">
        <v>0</v>
      </c>
      <c r="D57" s="123">
        <v>3845762</v>
      </c>
      <c r="E57" s="123">
        <v>23018403859</v>
      </c>
      <c r="F57" s="123">
        <v>23071795673</v>
      </c>
      <c r="G57" s="123">
        <v>0</v>
      </c>
      <c r="H57" s="123">
        <v>57237576</v>
      </c>
      <c r="I57" s="124"/>
      <c r="J57" s="124">
        <f>H57-D57</f>
        <v>53391814</v>
      </c>
    </row>
    <row r="58" spans="1:13">
      <c r="A58" s="102" t="s">
        <v>288</v>
      </c>
      <c r="B58" s="102" t="s">
        <v>289</v>
      </c>
      <c r="C58" s="123">
        <v>0</v>
      </c>
      <c r="D58" s="123">
        <v>0</v>
      </c>
      <c r="E58" s="123">
        <v>3500000</v>
      </c>
      <c r="F58" s="123">
        <v>3500000</v>
      </c>
      <c r="G58" s="123">
        <v>0</v>
      </c>
      <c r="H58" s="123">
        <v>0</v>
      </c>
      <c r="I58" s="124"/>
      <c r="J58" s="124">
        <f t="shared" si="7"/>
        <v>0</v>
      </c>
    </row>
    <row r="59" spans="1:13">
      <c r="A59" s="102" t="s">
        <v>222</v>
      </c>
      <c r="B59" s="102" t="s">
        <v>223</v>
      </c>
      <c r="C59" s="123">
        <v>0</v>
      </c>
      <c r="D59" s="123">
        <v>23694855</v>
      </c>
      <c r="E59" s="123">
        <v>5763349746</v>
      </c>
      <c r="F59" s="123">
        <v>5739654891</v>
      </c>
      <c r="G59" s="123">
        <v>0</v>
      </c>
      <c r="H59" s="123">
        <v>0</v>
      </c>
      <c r="I59" s="124"/>
      <c r="J59" s="128">
        <f>H59-D59</f>
        <v>-23694855</v>
      </c>
    </row>
    <row r="60" spans="1:13">
      <c r="A60" s="102" t="s">
        <v>224</v>
      </c>
      <c r="B60" s="102" t="s">
        <v>225</v>
      </c>
      <c r="C60" s="123">
        <v>0</v>
      </c>
      <c r="D60" s="123">
        <v>39741098167</v>
      </c>
      <c r="E60" s="123">
        <v>653431862481</v>
      </c>
      <c r="F60" s="123">
        <v>669341712137</v>
      </c>
      <c r="G60" s="123">
        <v>0</v>
      </c>
      <c r="H60" s="123">
        <v>55650947823</v>
      </c>
      <c r="I60" s="124"/>
      <c r="J60" s="128">
        <f t="shared" si="7"/>
        <v>15909849656</v>
      </c>
    </row>
    <row r="61" spans="1:13">
      <c r="A61" s="102" t="s">
        <v>290</v>
      </c>
      <c r="B61" s="102" t="s">
        <v>291</v>
      </c>
      <c r="C61" s="123">
        <v>0</v>
      </c>
      <c r="D61" s="123">
        <v>0</v>
      </c>
      <c r="E61" s="123">
        <v>405151388000</v>
      </c>
      <c r="F61" s="123">
        <v>405151388000</v>
      </c>
      <c r="G61" s="123">
        <v>0</v>
      </c>
      <c r="H61" s="123">
        <v>0</v>
      </c>
      <c r="I61" s="124"/>
      <c r="J61" s="128">
        <f t="shared" si="7"/>
        <v>0</v>
      </c>
    </row>
    <row r="62" spans="1:13">
      <c r="A62" s="102" t="s">
        <v>220</v>
      </c>
      <c r="B62" s="102" t="s">
        <v>221</v>
      </c>
      <c r="C62" s="123">
        <v>0</v>
      </c>
      <c r="D62" s="123">
        <v>0</v>
      </c>
      <c r="E62" s="123">
        <v>170852705250.23001</v>
      </c>
      <c r="F62" s="123">
        <v>170877899898.23001</v>
      </c>
      <c r="G62" s="123">
        <v>0</v>
      </c>
      <c r="H62" s="123">
        <v>25194648</v>
      </c>
      <c r="I62" s="124"/>
      <c r="J62" s="128">
        <f t="shared" si="7"/>
        <v>25194648</v>
      </c>
    </row>
    <row r="63" spans="1:13">
      <c r="A63" s="102" t="s">
        <v>230</v>
      </c>
      <c r="B63" s="102" t="s">
        <v>231</v>
      </c>
      <c r="C63" s="123">
        <v>0</v>
      </c>
      <c r="D63" s="123">
        <v>0</v>
      </c>
      <c r="E63" s="123">
        <v>48829887.229999997</v>
      </c>
      <c r="F63" s="123">
        <v>1504391481.25</v>
      </c>
      <c r="G63" s="123">
        <v>0</v>
      </c>
      <c r="H63" s="123">
        <v>1455561594.02</v>
      </c>
      <c r="I63" s="124"/>
      <c r="J63" s="124">
        <f>H63-D63</f>
        <v>1455561594.02</v>
      </c>
      <c r="M63" s="147"/>
    </row>
    <row r="64" spans="1:13">
      <c r="A64" s="102" t="s">
        <v>233</v>
      </c>
      <c r="B64" s="102" t="s">
        <v>292</v>
      </c>
      <c r="C64" s="123">
        <v>0</v>
      </c>
      <c r="D64" s="123">
        <v>0</v>
      </c>
      <c r="E64" s="123">
        <v>4712841574.8999996</v>
      </c>
      <c r="F64" s="123">
        <v>4712841574.8499994</v>
      </c>
      <c r="G64" s="123">
        <v>0.05</v>
      </c>
      <c r="H64" s="123">
        <v>0</v>
      </c>
      <c r="I64" s="124"/>
      <c r="J64" s="208">
        <f t="shared" si="7"/>
        <v>0</v>
      </c>
    </row>
    <row r="65" spans="1:10">
      <c r="A65" s="102" t="s">
        <v>235</v>
      </c>
      <c r="B65" s="102" t="s">
        <v>236</v>
      </c>
      <c r="C65" s="123">
        <v>0</v>
      </c>
      <c r="D65" s="123">
        <v>0</v>
      </c>
      <c r="E65" s="123">
        <v>2251777555</v>
      </c>
      <c r="F65" s="123">
        <v>2391516027.1900005</v>
      </c>
      <c r="G65" s="123">
        <v>0</v>
      </c>
      <c r="H65" s="123">
        <v>139738472.19000062</v>
      </c>
      <c r="I65" s="124"/>
      <c r="J65" s="208">
        <f t="shared" si="7"/>
        <v>139738472.19000062</v>
      </c>
    </row>
    <row r="66" spans="1:10">
      <c r="A66" s="102" t="s">
        <v>237</v>
      </c>
      <c r="B66" s="102" t="s">
        <v>238</v>
      </c>
      <c r="C66" s="123">
        <v>0</v>
      </c>
      <c r="D66" s="123">
        <v>43421744.07</v>
      </c>
      <c r="E66" s="123">
        <v>272214930.96000004</v>
      </c>
      <c r="F66" s="123">
        <v>260210985.96000001</v>
      </c>
      <c r="G66" s="123">
        <v>0</v>
      </c>
      <c r="H66" s="123">
        <v>31417799.069999963</v>
      </c>
      <c r="I66" s="124"/>
      <c r="J66" s="208">
        <f t="shared" si="7"/>
        <v>-12003945.000000037</v>
      </c>
    </row>
    <row r="67" spans="1:10">
      <c r="A67" s="102" t="s">
        <v>250</v>
      </c>
      <c r="B67" s="102" t="s">
        <v>251</v>
      </c>
      <c r="C67" s="123">
        <v>0</v>
      </c>
      <c r="D67" s="123">
        <v>139126366</v>
      </c>
      <c r="E67" s="123">
        <v>916380056.83000004</v>
      </c>
      <c r="F67" s="123">
        <v>906352670.83000004</v>
      </c>
      <c r="G67" s="123">
        <v>0</v>
      </c>
      <c r="H67" s="123">
        <v>129098980</v>
      </c>
      <c r="I67" s="124"/>
      <c r="J67" s="208">
        <f t="shared" si="7"/>
        <v>-10027386</v>
      </c>
    </row>
    <row r="68" spans="1:10">
      <c r="A68" s="102" t="s">
        <v>240</v>
      </c>
      <c r="B68" s="102" t="s">
        <v>241</v>
      </c>
      <c r="C68" s="123">
        <v>0</v>
      </c>
      <c r="D68" s="123">
        <v>17150000</v>
      </c>
      <c r="E68" s="123">
        <v>222439135.5</v>
      </c>
      <c r="F68" s="123">
        <v>226575647.5</v>
      </c>
      <c r="G68" s="123">
        <v>0</v>
      </c>
      <c r="H68" s="123">
        <v>21286512</v>
      </c>
      <c r="I68" s="124"/>
      <c r="J68" s="208">
        <f t="shared" si="7"/>
        <v>4136512</v>
      </c>
    </row>
    <row r="69" spans="1:10">
      <c r="A69" s="102" t="s">
        <v>244</v>
      </c>
      <c r="B69" s="102" t="s">
        <v>245</v>
      </c>
      <c r="C69" s="123">
        <v>0</v>
      </c>
      <c r="D69" s="123">
        <v>2600000</v>
      </c>
      <c r="E69" s="123">
        <v>28516760</v>
      </c>
      <c r="F69" s="123">
        <v>28498392</v>
      </c>
      <c r="G69" s="123">
        <v>0</v>
      </c>
      <c r="H69" s="123">
        <v>2581632</v>
      </c>
      <c r="I69" s="124"/>
      <c r="J69" s="208">
        <f t="shared" si="7"/>
        <v>-18368</v>
      </c>
    </row>
    <row r="70" spans="1:10">
      <c r="A70" s="102" t="s">
        <v>248</v>
      </c>
      <c r="B70" s="102" t="s">
        <v>249</v>
      </c>
      <c r="C70" s="123">
        <v>0</v>
      </c>
      <c r="D70" s="123">
        <v>302067313.32999998</v>
      </c>
      <c r="E70" s="123">
        <v>885687410.6400001</v>
      </c>
      <c r="F70" s="123">
        <v>959073137.30999994</v>
      </c>
      <c r="G70" s="123">
        <v>0</v>
      </c>
      <c r="H70" s="123">
        <v>375453039.99999982</v>
      </c>
      <c r="I70" s="124"/>
      <c r="J70" s="208">
        <f t="shared" si="7"/>
        <v>73385726.669999838</v>
      </c>
    </row>
    <row r="71" spans="1:10">
      <c r="A71" s="102" t="s">
        <v>252</v>
      </c>
      <c r="B71" s="102" t="s">
        <v>253</v>
      </c>
      <c r="C71" s="123">
        <v>0</v>
      </c>
      <c r="D71" s="123">
        <v>68308109.5</v>
      </c>
      <c r="E71" s="123">
        <v>102462149.5</v>
      </c>
      <c r="F71" s="123">
        <v>34154040</v>
      </c>
      <c r="G71" s="123">
        <v>0</v>
      </c>
      <c r="H71" s="123">
        <v>0</v>
      </c>
      <c r="I71" s="124"/>
      <c r="J71" s="208">
        <f>H71-D71</f>
        <v>-68308109.5</v>
      </c>
    </row>
    <row r="72" spans="1:10">
      <c r="A72" s="102" t="s">
        <v>242</v>
      </c>
      <c r="B72" s="102" t="s">
        <v>243</v>
      </c>
      <c r="C72" s="123">
        <v>0</v>
      </c>
      <c r="D72" s="123">
        <v>0</v>
      </c>
      <c r="E72" s="123">
        <v>45634040</v>
      </c>
      <c r="F72" s="123">
        <v>52873080</v>
      </c>
      <c r="G72" s="123">
        <v>0</v>
      </c>
      <c r="H72" s="123">
        <v>7239040</v>
      </c>
      <c r="I72" s="124"/>
      <c r="J72" s="208">
        <f t="shared" si="7"/>
        <v>7239040</v>
      </c>
    </row>
    <row r="73" spans="1:10" s="215" customFormat="1">
      <c r="A73" s="212" t="s">
        <v>246</v>
      </c>
      <c r="B73" s="212" t="s">
        <v>247</v>
      </c>
      <c r="C73" s="213">
        <v>0</v>
      </c>
      <c r="D73" s="213">
        <v>0</v>
      </c>
      <c r="E73" s="213">
        <v>3303470081.6999998</v>
      </c>
      <c r="F73" s="213">
        <v>3594176821.3900008</v>
      </c>
      <c r="G73" s="213">
        <v>0</v>
      </c>
      <c r="H73" s="213">
        <v>290706739.69000059</v>
      </c>
      <c r="I73" s="214"/>
      <c r="J73" s="214">
        <f t="shared" si="7"/>
        <v>290706739.69000059</v>
      </c>
    </row>
    <row r="74" spans="1:10" s="215" customFormat="1">
      <c r="A74" s="212" t="s">
        <v>293</v>
      </c>
      <c r="B74" s="212" t="s">
        <v>294</v>
      </c>
      <c r="C74" s="213">
        <v>0</v>
      </c>
      <c r="D74" s="213">
        <v>0</v>
      </c>
      <c r="E74" s="213">
        <v>111875400</v>
      </c>
      <c r="F74" s="213">
        <v>111875400</v>
      </c>
      <c r="G74" s="213">
        <v>0</v>
      </c>
      <c r="H74" s="213">
        <v>0</v>
      </c>
      <c r="I74" s="214"/>
      <c r="J74" s="214">
        <f t="shared" si="7"/>
        <v>0</v>
      </c>
    </row>
    <row r="75" spans="1:10" s="215" customFormat="1">
      <c r="A75" s="212" t="s">
        <v>254</v>
      </c>
      <c r="B75" s="212" t="s">
        <v>255</v>
      </c>
      <c r="C75" s="213">
        <v>0</v>
      </c>
      <c r="D75" s="213">
        <v>0</v>
      </c>
      <c r="E75" s="213">
        <v>0</v>
      </c>
      <c r="F75" s="213">
        <v>27040033.18</v>
      </c>
      <c r="G75" s="213">
        <v>0</v>
      </c>
      <c r="H75" s="213">
        <v>27040033.18</v>
      </c>
      <c r="I75" s="214"/>
      <c r="J75" s="214">
        <f t="shared" si="7"/>
        <v>27040033.18</v>
      </c>
    </row>
    <row r="76" spans="1:10" s="215" customFormat="1">
      <c r="A76" s="212" t="s">
        <v>295</v>
      </c>
      <c r="B76" s="212" t="s">
        <v>296</v>
      </c>
      <c r="C76" s="213">
        <v>0</v>
      </c>
      <c r="D76" s="213">
        <v>0</v>
      </c>
      <c r="E76" s="213">
        <v>54000</v>
      </c>
      <c r="F76" s="213">
        <v>54000</v>
      </c>
      <c r="G76" s="213">
        <v>0</v>
      </c>
      <c r="H76" s="213">
        <v>0</v>
      </c>
      <c r="I76" s="214"/>
      <c r="J76" s="214">
        <f t="shared" si="7"/>
        <v>0</v>
      </c>
    </row>
    <row r="77" spans="1:10">
      <c r="A77" s="102" t="s">
        <v>257</v>
      </c>
      <c r="B77" s="102" t="s">
        <v>258</v>
      </c>
      <c r="C77" s="123">
        <v>0</v>
      </c>
      <c r="D77" s="123">
        <v>100000000000</v>
      </c>
      <c r="E77" s="123">
        <v>0</v>
      </c>
      <c r="F77" s="123">
        <v>0</v>
      </c>
      <c r="G77" s="123">
        <v>0</v>
      </c>
      <c r="H77" s="123">
        <v>100000000000</v>
      </c>
      <c r="I77" s="124"/>
      <c r="J77" s="124">
        <f t="shared" si="7"/>
        <v>0</v>
      </c>
    </row>
    <row r="78" spans="1:10">
      <c r="A78" s="102" t="s">
        <v>260</v>
      </c>
      <c r="B78" s="102" t="s">
        <v>261</v>
      </c>
      <c r="C78" s="123">
        <v>0</v>
      </c>
      <c r="D78" s="123">
        <v>191823715.77000001</v>
      </c>
      <c r="E78" s="123">
        <v>0</v>
      </c>
      <c r="F78" s="123">
        <v>0</v>
      </c>
      <c r="G78" s="123">
        <v>0</v>
      </c>
      <c r="H78" s="123">
        <v>191823715.77000001</v>
      </c>
      <c r="I78" s="124"/>
      <c r="J78" s="124">
        <f t="shared" si="7"/>
        <v>0</v>
      </c>
    </row>
    <row r="79" spans="1:10">
      <c r="A79" s="102"/>
      <c r="B79" s="102"/>
      <c r="C79" s="125"/>
      <c r="D79" s="125"/>
      <c r="E79" s="125"/>
      <c r="F79" s="125"/>
      <c r="G79" s="125"/>
      <c r="H79" s="125"/>
      <c r="I79" s="126"/>
      <c r="J79" s="126"/>
    </row>
    <row r="80" spans="1:10">
      <c r="A80" s="102"/>
      <c r="B80" s="102"/>
      <c r="C80" s="125"/>
      <c r="D80" s="125"/>
      <c r="E80" s="125"/>
      <c r="F80" s="125"/>
      <c r="G80" s="125"/>
      <c r="H80" s="125"/>
      <c r="I80" s="126"/>
      <c r="J80" s="126"/>
    </row>
    <row r="81" spans="1:10">
      <c r="A81" s="102"/>
      <c r="B81" s="102"/>
      <c r="C81" s="116">
        <f t="shared" ref="C81:H81" si="8">SUM(C5:C78)</f>
        <v>140967418848.20004</v>
      </c>
      <c r="D81" s="116">
        <f t="shared" si="8"/>
        <v>140967418848.19998</v>
      </c>
      <c r="E81" s="116">
        <f t="shared" si="8"/>
        <v>3015176882011</v>
      </c>
      <c r="F81" s="116">
        <f t="shared" si="8"/>
        <v>3011412666460.9102</v>
      </c>
      <c r="G81" s="116">
        <f t="shared" si="8"/>
        <v>162985274009.59</v>
      </c>
      <c r="H81" s="116">
        <f t="shared" si="8"/>
        <v>159221058459.5</v>
      </c>
      <c r="I81" s="116">
        <f t="shared" ref="I81:J81" si="9">SUM(I5:I78)</f>
        <v>22055106131.340042</v>
      </c>
      <c r="J81" s="116">
        <f t="shared" si="9"/>
        <v>18290890581.300003</v>
      </c>
    </row>
    <row r="82" spans="1:10">
      <c r="A82" s="102"/>
      <c r="B82" s="102"/>
      <c r="C82" s="116"/>
      <c r="D82" s="116"/>
      <c r="E82" s="116"/>
      <c r="F82" s="116"/>
      <c r="G82" s="116"/>
      <c r="H82" s="116"/>
      <c r="I82" s="116"/>
      <c r="J82" s="116"/>
    </row>
    <row r="83" spans="1:10">
      <c r="A83" s="102"/>
      <c r="B83" s="102"/>
      <c r="C83" s="116"/>
      <c r="D83" s="116">
        <f>C81-D81</f>
        <v>0</v>
      </c>
      <c r="E83" s="116"/>
      <c r="F83" s="116">
        <f>E81-F81</f>
        <v>3764215550.0898437</v>
      </c>
      <c r="G83" s="116"/>
      <c r="H83" s="116">
        <f>G81-H81</f>
        <v>3764215550.0899963</v>
      </c>
      <c r="J83" s="116">
        <f>I81-J81</f>
        <v>3764215550.0400391</v>
      </c>
    </row>
    <row r="84" spans="1:10">
      <c r="A84" s="102"/>
      <c r="B84" s="102"/>
      <c r="C84" s="116"/>
      <c r="D84" s="116"/>
      <c r="E84" s="116"/>
      <c r="F84" s="116"/>
      <c r="G84" s="116"/>
      <c r="H84" s="116"/>
    </row>
    <row r="85" spans="1:10">
      <c r="A85" s="102"/>
      <c r="B85" s="102"/>
      <c r="C85" s="116"/>
      <c r="D85" s="116"/>
      <c r="E85" s="116"/>
      <c r="F85" s="116"/>
      <c r="G85" s="116"/>
      <c r="H85" s="116"/>
    </row>
    <row r="86" spans="1:10">
      <c r="A86" s="102" t="s">
        <v>297</v>
      </c>
      <c r="B86" s="102" t="s">
        <v>298</v>
      </c>
      <c r="C86" s="116">
        <v>0</v>
      </c>
      <c r="D86" s="116">
        <v>0</v>
      </c>
      <c r="E86" s="116">
        <v>243547020.5</v>
      </c>
      <c r="F86" s="116">
        <v>0</v>
      </c>
      <c r="G86" s="116">
        <v>243547020.5</v>
      </c>
      <c r="H86" s="116">
        <v>0</v>
      </c>
      <c r="J86" s="124">
        <f>F86-E86</f>
        <v>-243547020.5</v>
      </c>
    </row>
    <row r="87" spans="1:10">
      <c r="A87" s="102" t="s">
        <v>299</v>
      </c>
      <c r="B87" s="102" t="s">
        <v>300</v>
      </c>
      <c r="C87" s="116">
        <v>0</v>
      </c>
      <c r="D87" s="116">
        <v>0</v>
      </c>
      <c r="E87" s="116">
        <v>33168305</v>
      </c>
      <c r="F87" s="116">
        <v>0</v>
      </c>
      <c r="G87" s="116">
        <v>33168305</v>
      </c>
      <c r="H87" s="116">
        <v>0</v>
      </c>
      <c r="J87" s="124">
        <f t="shared" ref="J87:J106" si="10">F87-E87</f>
        <v>-33168305</v>
      </c>
    </row>
    <row r="88" spans="1:10">
      <c r="A88" s="102" t="s">
        <v>301</v>
      </c>
      <c r="B88" s="102" t="s">
        <v>302</v>
      </c>
      <c r="C88" s="116">
        <v>0</v>
      </c>
      <c r="D88" s="116">
        <v>0</v>
      </c>
      <c r="E88" s="116">
        <v>11148725.699999999</v>
      </c>
      <c r="F88" s="116">
        <v>0</v>
      </c>
      <c r="G88" s="116">
        <v>11148725.699999999</v>
      </c>
      <c r="H88" s="116">
        <v>0</v>
      </c>
      <c r="J88" s="124">
        <f t="shared" si="10"/>
        <v>-11148725.699999999</v>
      </c>
    </row>
    <row r="89" spans="1:10">
      <c r="A89" s="102" t="s">
        <v>303</v>
      </c>
      <c r="B89" s="102" t="s">
        <v>304</v>
      </c>
      <c r="C89" s="116">
        <v>0</v>
      </c>
      <c r="D89" s="116">
        <v>0</v>
      </c>
      <c r="E89" s="116">
        <v>1918944102</v>
      </c>
      <c r="F89" s="116">
        <v>0</v>
      </c>
      <c r="G89" s="116">
        <v>1918944102</v>
      </c>
      <c r="H89" s="116">
        <v>0</v>
      </c>
      <c r="J89" s="124">
        <f t="shared" si="10"/>
        <v>-1918944102</v>
      </c>
    </row>
    <row r="90" spans="1:10">
      <c r="A90" s="102" t="s">
        <v>305</v>
      </c>
      <c r="B90" s="102" t="s">
        <v>306</v>
      </c>
      <c r="C90" s="116">
        <v>0</v>
      </c>
      <c r="D90" s="116">
        <v>0</v>
      </c>
      <c r="E90" s="116">
        <v>23070661</v>
      </c>
      <c r="F90" s="116">
        <v>0</v>
      </c>
      <c r="G90" s="116">
        <v>23070661</v>
      </c>
      <c r="H90" s="116">
        <v>0</v>
      </c>
      <c r="J90" s="124">
        <f t="shared" si="10"/>
        <v>-23070661</v>
      </c>
    </row>
    <row r="91" spans="1:10">
      <c r="A91" s="102" t="s">
        <v>307</v>
      </c>
      <c r="B91" s="102" t="s">
        <v>308</v>
      </c>
      <c r="C91" s="116">
        <v>0</v>
      </c>
      <c r="D91" s="116">
        <v>0</v>
      </c>
      <c r="E91" s="116">
        <v>59776012</v>
      </c>
      <c r="F91" s="116">
        <v>0</v>
      </c>
      <c r="G91" s="116">
        <v>59776012</v>
      </c>
      <c r="H91" s="116">
        <v>0</v>
      </c>
      <c r="J91" s="124">
        <f t="shared" si="10"/>
        <v>-59776012</v>
      </c>
    </row>
    <row r="92" spans="1:10">
      <c r="A92" s="102" t="s">
        <v>309</v>
      </c>
      <c r="B92" s="102" t="s">
        <v>310</v>
      </c>
      <c r="C92" s="116">
        <v>0</v>
      </c>
      <c r="D92" s="116">
        <v>0</v>
      </c>
      <c r="E92" s="116">
        <v>9425000</v>
      </c>
      <c r="F92" s="116">
        <v>0</v>
      </c>
      <c r="G92" s="116">
        <v>9425000</v>
      </c>
      <c r="H92" s="116">
        <v>0</v>
      </c>
      <c r="J92" s="124">
        <f t="shared" si="10"/>
        <v>-9425000</v>
      </c>
    </row>
    <row r="93" spans="1:10">
      <c r="A93" s="102" t="s">
        <v>311</v>
      </c>
      <c r="B93" s="102" t="s">
        <v>312</v>
      </c>
      <c r="C93" s="116">
        <v>0</v>
      </c>
      <c r="D93" s="116">
        <v>0</v>
      </c>
      <c r="E93" s="116">
        <v>105624475.48000002</v>
      </c>
      <c r="F93" s="116">
        <v>0</v>
      </c>
      <c r="G93" s="116">
        <v>105624475.48000002</v>
      </c>
      <c r="H93" s="116">
        <v>0</v>
      </c>
      <c r="J93" s="124">
        <f t="shared" si="10"/>
        <v>-105624475.48000002</v>
      </c>
    </row>
    <row r="94" spans="1:10">
      <c r="A94" s="102" t="s">
        <v>313</v>
      </c>
      <c r="B94" s="102" t="s">
        <v>314</v>
      </c>
      <c r="C94" s="116">
        <v>0</v>
      </c>
      <c r="D94" s="116">
        <v>0</v>
      </c>
      <c r="E94" s="116">
        <v>4473203</v>
      </c>
      <c r="F94" s="116">
        <v>0</v>
      </c>
      <c r="G94" s="116">
        <v>4473203</v>
      </c>
      <c r="H94" s="116">
        <v>0</v>
      </c>
      <c r="J94" s="124">
        <f t="shared" si="10"/>
        <v>-4473203</v>
      </c>
    </row>
    <row r="95" spans="1:10">
      <c r="A95" s="102" t="s">
        <v>315</v>
      </c>
      <c r="B95" s="102" t="s">
        <v>316</v>
      </c>
      <c r="C95" s="116">
        <v>0</v>
      </c>
      <c r="D95" s="116">
        <v>0</v>
      </c>
      <c r="E95" s="116">
        <v>187500000</v>
      </c>
      <c r="F95" s="116">
        <v>0</v>
      </c>
      <c r="G95" s="116">
        <v>187500000</v>
      </c>
      <c r="H95" s="116">
        <v>0</v>
      </c>
      <c r="J95" s="124">
        <f t="shared" si="10"/>
        <v>-187500000</v>
      </c>
    </row>
    <row r="96" spans="1:10">
      <c r="A96" s="102" t="s">
        <v>317</v>
      </c>
      <c r="B96" s="102" t="s">
        <v>318</v>
      </c>
      <c r="C96" s="116">
        <v>0</v>
      </c>
      <c r="D96" s="116">
        <v>0</v>
      </c>
      <c r="E96" s="116">
        <v>82586000</v>
      </c>
      <c r="F96" s="116">
        <v>0</v>
      </c>
      <c r="G96" s="116">
        <v>82586000</v>
      </c>
      <c r="H96" s="116">
        <v>0</v>
      </c>
      <c r="J96" s="124">
        <f t="shared" si="10"/>
        <v>-82586000</v>
      </c>
    </row>
    <row r="97" spans="1:10">
      <c r="A97" s="102" t="s">
        <v>319</v>
      </c>
      <c r="B97" s="102" t="s">
        <v>320</v>
      </c>
      <c r="C97" s="116">
        <v>0</v>
      </c>
      <c r="D97" s="116">
        <v>0</v>
      </c>
      <c r="E97" s="116">
        <v>46695436</v>
      </c>
      <c r="F97" s="116">
        <v>642807</v>
      </c>
      <c r="G97" s="116">
        <v>46052629</v>
      </c>
      <c r="H97" s="116">
        <v>0</v>
      </c>
      <c r="J97" s="124">
        <f t="shared" si="10"/>
        <v>-46052629</v>
      </c>
    </row>
    <row r="98" spans="1:10">
      <c r="A98" s="102" t="s">
        <v>321</v>
      </c>
      <c r="B98" s="102" t="s">
        <v>322</v>
      </c>
      <c r="C98" s="116">
        <v>0</v>
      </c>
      <c r="D98" s="116">
        <v>0</v>
      </c>
      <c r="E98" s="116">
        <v>49990792</v>
      </c>
      <c r="F98" s="116">
        <v>0</v>
      </c>
      <c r="G98" s="116">
        <v>49990792</v>
      </c>
      <c r="H98" s="116">
        <v>0</v>
      </c>
      <c r="J98" s="124">
        <f t="shared" si="10"/>
        <v>-49990792</v>
      </c>
    </row>
    <row r="99" spans="1:10">
      <c r="A99" s="102" t="s">
        <v>323</v>
      </c>
      <c r="B99" s="102" t="s">
        <v>324</v>
      </c>
      <c r="C99" s="116">
        <v>0</v>
      </c>
      <c r="D99" s="116">
        <v>0</v>
      </c>
      <c r="E99" s="116">
        <v>30071433.199999999</v>
      </c>
      <c r="F99" s="116">
        <v>0</v>
      </c>
      <c r="G99" s="116">
        <v>30071433.199999999</v>
      </c>
      <c r="H99" s="116">
        <v>0</v>
      </c>
      <c r="J99" s="124">
        <f t="shared" si="10"/>
        <v>-30071433.199999999</v>
      </c>
    </row>
    <row r="100" spans="1:10">
      <c r="A100" s="102" t="s">
        <v>325</v>
      </c>
      <c r="B100" s="102" t="s">
        <v>326</v>
      </c>
      <c r="C100" s="116">
        <v>0</v>
      </c>
      <c r="D100" s="116">
        <v>0</v>
      </c>
      <c r="E100" s="116">
        <v>2950000</v>
      </c>
      <c r="F100" s="116">
        <v>0</v>
      </c>
      <c r="G100" s="116">
        <v>2950000</v>
      </c>
      <c r="H100" s="116">
        <v>0</v>
      </c>
      <c r="J100" s="124">
        <f t="shared" si="10"/>
        <v>-2950000</v>
      </c>
    </row>
    <row r="101" spans="1:10">
      <c r="A101" s="102" t="s">
        <v>327</v>
      </c>
      <c r="B101" s="102" t="s">
        <v>328</v>
      </c>
      <c r="C101" s="116">
        <v>0</v>
      </c>
      <c r="D101" s="116">
        <v>0</v>
      </c>
      <c r="E101" s="116">
        <v>13794000</v>
      </c>
      <c r="F101" s="116">
        <v>0</v>
      </c>
      <c r="G101" s="116">
        <v>13794000</v>
      </c>
      <c r="H101" s="116">
        <v>0</v>
      </c>
      <c r="J101" s="124">
        <f t="shared" si="10"/>
        <v>-13794000</v>
      </c>
    </row>
    <row r="102" spans="1:10">
      <c r="A102" s="102" t="s">
        <v>329</v>
      </c>
      <c r="B102" s="102" t="s">
        <v>330</v>
      </c>
      <c r="C102" s="116">
        <v>0</v>
      </c>
      <c r="D102" s="116">
        <v>0</v>
      </c>
      <c r="E102" s="116">
        <v>4558000</v>
      </c>
      <c r="F102" s="116">
        <v>0</v>
      </c>
      <c r="G102" s="116">
        <v>4558000</v>
      </c>
      <c r="H102" s="116">
        <v>0</v>
      </c>
      <c r="J102" s="124">
        <f t="shared" si="10"/>
        <v>-4558000</v>
      </c>
    </row>
    <row r="103" spans="1:10">
      <c r="A103" s="102" t="s">
        <v>331</v>
      </c>
      <c r="B103" s="102" t="s">
        <v>332</v>
      </c>
      <c r="C103" s="116">
        <v>0</v>
      </c>
      <c r="D103" s="116">
        <v>0</v>
      </c>
      <c r="E103" s="116">
        <v>31479000</v>
      </c>
      <c r="F103" s="116">
        <v>0</v>
      </c>
      <c r="G103" s="116">
        <v>31479000</v>
      </c>
      <c r="H103" s="116">
        <v>0</v>
      </c>
      <c r="J103" s="124">
        <f t="shared" si="10"/>
        <v>-31479000</v>
      </c>
    </row>
    <row r="104" spans="1:10">
      <c r="A104" s="102" t="s">
        <v>333</v>
      </c>
      <c r="B104" s="102" t="s">
        <v>334</v>
      </c>
      <c r="C104" s="116">
        <v>0</v>
      </c>
      <c r="D104" s="116">
        <v>0</v>
      </c>
      <c r="E104" s="116">
        <v>45000000</v>
      </c>
      <c r="F104" s="116">
        <v>0</v>
      </c>
      <c r="G104" s="116">
        <v>45000000</v>
      </c>
      <c r="H104" s="116">
        <v>0</v>
      </c>
      <c r="J104" s="124">
        <f t="shared" si="10"/>
        <v>-45000000</v>
      </c>
    </row>
    <row r="105" spans="1:10">
      <c r="A105" s="102" t="s">
        <v>335</v>
      </c>
      <c r="B105" s="102" t="s">
        <v>336</v>
      </c>
      <c r="C105" s="116">
        <v>0</v>
      </c>
      <c r="D105" s="116">
        <v>0</v>
      </c>
      <c r="E105" s="116">
        <v>31772000</v>
      </c>
      <c r="F105" s="116">
        <v>0</v>
      </c>
      <c r="G105" s="116">
        <v>31772000</v>
      </c>
      <c r="H105" s="116">
        <v>0</v>
      </c>
      <c r="J105" s="124">
        <f t="shared" si="10"/>
        <v>-31772000</v>
      </c>
    </row>
    <row r="106" spans="1:10">
      <c r="A106" s="102" t="s">
        <v>337</v>
      </c>
      <c r="B106" s="102" t="s">
        <v>338</v>
      </c>
      <c r="C106" s="116">
        <v>0</v>
      </c>
      <c r="D106" s="116">
        <v>0</v>
      </c>
      <c r="E106" s="116">
        <v>1234000</v>
      </c>
      <c r="F106" s="116">
        <v>0</v>
      </c>
      <c r="G106" s="116">
        <v>1234000</v>
      </c>
      <c r="H106" s="116">
        <v>0</v>
      </c>
      <c r="J106" s="124">
        <f t="shared" si="10"/>
        <v>-1234000</v>
      </c>
    </row>
    <row r="107" spans="1:10">
      <c r="A107" s="102" t="s">
        <v>339</v>
      </c>
      <c r="B107" s="102" t="s">
        <v>340</v>
      </c>
      <c r="C107" s="116">
        <v>0</v>
      </c>
      <c r="D107" s="116">
        <v>0</v>
      </c>
      <c r="E107" s="116">
        <v>76636728</v>
      </c>
      <c r="F107" s="116">
        <v>0</v>
      </c>
      <c r="G107" s="116">
        <v>76636728</v>
      </c>
      <c r="H107" s="116">
        <v>0</v>
      </c>
      <c r="J107" s="124">
        <f t="shared" ref="J107:J150" si="11">F107-E107</f>
        <v>-76636728</v>
      </c>
    </row>
    <row r="108" spans="1:10">
      <c r="A108" s="102" t="s">
        <v>341</v>
      </c>
      <c r="B108" s="102" t="s">
        <v>342</v>
      </c>
      <c r="C108" s="116">
        <v>0</v>
      </c>
      <c r="D108" s="116">
        <v>0</v>
      </c>
      <c r="E108" s="116">
        <v>498368029.47999984</v>
      </c>
      <c r="F108" s="116">
        <v>16904092.920000002</v>
      </c>
      <c r="G108" s="116">
        <v>481463936.55999982</v>
      </c>
      <c r="H108" s="116">
        <v>0</v>
      </c>
      <c r="J108" s="124">
        <f t="shared" si="11"/>
        <v>-481463936.55999982</v>
      </c>
    </row>
    <row r="109" spans="1:10">
      <c r="A109" s="102" t="s">
        <v>343</v>
      </c>
      <c r="B109" s="102" t="s">
        <v>344</v>
      </c>
      <c r="C109" s="116">
        <v>0</v>
      </c>
      <c r="D109" s="116">
        <v>0</v>
      </c>
      <c r="E109" s="116">
        <v>425000</v>
      </c>
      <c r="F109" s="116">
        <v>0</v>
      </c>
      <c r="G109" s="116">
        <v>425000</v>
      </c>
      <c r="H109" s="116">
        <v>0</v>
      </c>
      <c r="J109" s="124">
        <f t="shared" si="11"/>
        <v>-425000</v>
      </c>
    </row>
    <row r="110" spans="1:10">
      <c r="A110" s="102" t="s">
        <v>345</v>
      </c>
      <c r="B110" s="102" t="s">
        <v>346</v>
      </c>
      <c r="C110" s="116">
        <v>0</v>
      </c>
      <c r="D110" s="116">
        <v>0</v>
      </c>
      <c r="E110" s="116">
        <v>12295050</v>
      </c>
      <c r="F110" s="116">
        <v>0</v>
      </c>
      <c r="G110" s="116">
        <v>12295050</v>
      </c>
      <c r="H110" s="116">
        <v>0</v>
      </c>
      <c r="J110" s="124">
        <f t="shared" si="11"/>
        <v>-12295050</v>
      </c>
    </row>
    <row r="111" spans="1:10">
      <c r="A111" s="102" t="s">
        <v>347</v>
      </c>
      <c r="B111" s="102" t="s">
        <v>348</v>
      </c>
      <c r="C111" s="116">
        <v>0</v>
      </c>
      <c r="D111" s="116">
        <v>0</v>
      </c>
      <c r="E111" s="116">
        <v>117237280</v>
      </c>
      <c r="F111" s="116">
        <v>0</v>
      </c>
      <c r="G111" s="116">
        <v>117237280</v>
      </c>
      <c r="H111" s="116">
        <v>0</v>
      </c>
      <c r="J111" s="124">
        <f t="shared" si="11"/>
        <v>-117237280</v>
      </c>
    </row>
    <row r="112" spans="1:10">
      <c r="A112" s="102" t="s">
        <v>349</v>
      </c>
      <c r="B112" s="102" t="s">
        <v>350</v>
      </c>
      <c r="C112" s="116">
        <v>0</v>
      </c>
      <c r="D112" s="116">
        <v>0</v>
      </c>
      <c r="E112" s="116">
        <v>283071818.51999998</v>
      </c>
      <c r="F112" s="116">
        <v>28050</v>
      </c>
      <c r="G112" s="116">
        <v>283043768.51999998</v>
      </c>
      <c r="H112" s="116">
        <v>0</v>
      </c>
      <c r="J112" s="124">
        <f t="shared" si="11"/>
        <v>-283043768.51999998</v>
      </c>
    </row>
    <row r="113" spans="1:10">
      <c r="A113" s="102" t="s">
        <v>351</v>
      </c>
      <c r="B113" s="102" t="s">
        <v>352</v>
      </c>
      <c r="C113" s="116">
        <v>0</v>
      </c>
      <c r="D113" s="116">
        <v>0</v>
      </c>
      <c r="E113" s="116">
        <v>188714538.34999999</v>
      </c>
      <c r="F113" s="116">
        <v>18700</v>
      </c>
      <c r="G113" s="116">
        <v>188695838.34999999</v>
      </c>
      <c r="H113" s="116">
        <v>0</v>
      </c>
      <c r="J113" s="124">
        <f t="shared" si="11"/>
        <v>-188695838.34999999</v>
      </c>
    </row>
    <row r="114" spans="1:10">
      <c r="A114" s="102" t="s">
        <v>353</v>
      </c>
      <c r="B114" s="102" t="s">
        <v>354</v>
      </c>
      <c r="C114" s="116">
        <v>0</v>
      </c>
      <c r="D114" s="116">
        <v>0</v>
      </c>
      <c r="E114" s="116">
        <v>188714538.34999999</v>
      </c>
      <c r="F114" s="116">
        <v>18700</v>
      </c>
      <c r="G114" s="116">
        <v>188695838.34999999</v>
      </c>
      <c r="H114" s="116">
        <v>0</v>
      </c>
      <c r="J114" s="124">
        <f t="shared" si="11"/>
        <v>-188695838.34999999</v>
      </c>
    </row>
    <row r="115" spans="1:10">
      <c r="A115" s="102" t="s">
        <v>355</v>
      </c>
      <c r="B115" s="102" t="s">
        <v>356</v>
      </c>
      <c r="C115" s="116">
        <v>0</v>
      </c>
      <c r="D115" s="116">
        <v>0</v>
      </c>
      <c r="E115" s="116">
        <v>260035807</v>
      </c>
      <c r="F115" s="116">
        <v>260035807</v>
      </c>
      <c r="G115" s="116">
        <v>0</v>
      </c>
      <c r="H115" s="116">
        <v>0</v>
      </c>
      <c r="J115" s="124">
        <f t="shared" si="11"/>
        <v>0</v>
      </c>
    </row>
    <row r="116" spans="1:10">
      <c r="A116" s="102" t="s">
        <v>357</v>
      </c>
      <c r="B116" s="102" t="s">
        <v>358</v>
      </c>
      <c r="C116" s="116">
        <v>0</v>
      </c>
      <c r="D116" s="116">
        <v>0</v>
      </c>
      <c r="E116" s="116">
        <v>378260192.69999999</v>
      </c>
      <c r="F116" s="116">
        <v>873265</v>
      </c>
      <c r="G116" s="116">
        <v>377386927.69999999</v>
      </c>
      <c r="H116" s="116">
        <v>0</v>
      </c>
      <c r="J116" s="124">
        <f t="shared" si="11"/>
        <v>-377386927.69999999</v>
      </c>
    </row>
    <row r="117" spans="1:10">
      <c r="A117" s="102" t="s">
        <v>359</v>
      </c>
      <c r="B117" s="102" t="s">
        <v>360</v>
      </c>
      <c r="C117" s="116">
        <v>0</v>
      </c>
      <c r="D117" s="116">
        <v>0</v>
      </c>
      <c r="E117" s="116">
        <v>17871946.5</v>
      </c>
      <c r="F117" s="116">
        <v>0</v>
      </c>
      <c r="G117" s="116">
        <v>17871946.5</v>
      </c>
      <c r="H117" s="116">
        <v>0</v>
      </c>
      <c r="J117" s="124">
        <f t="shared" si="11"/>
        <v>-17871946.5</v>
      </c>
    </row>
    <row r="118" spans="1:10">
      <c r="A118" s="102" t="s">
        <v>361</v>
      </c>
      <c r="B118" s="102" t="s">
        <v>362</v>
      </c>
      <c r="C118" s="116">
        <v>0</v>
      </c>
      <c r="D118" s="116">
        <v>0</v>
      </c>
      <c r="E118" s="116">
        <v>41123433150.629997</v>
      </c>
      <c r="F118" s="116">
        <v>66629971.5</v>
      </c>
      <c r="G118" s="116">
        <v>41056803179.129997</v>
      </c>
      <c r="H118" s="116">
        <v>0</v>
      </c>
      <c r="J118" s="124">
        <f t="shared" si="11"/>
        <v>-41056803179.129997</v>
      </c>
    </row>
    <row r="119" spans="1:10">
      <c r="A119" s="102" t="s">
        <v>363</v>
      </c>
      <c r="B119" s="102" t="s">
        <v>364</v>
      </c>
      <c r="C119" s="116">
        <v>0</v>
      </c>
      <c r="D119" s="116">
        <v>0</v>
      </c>
      <c r="E119" s="116">
        <v>119347900</v>
      </c>
      <c r="F119" s="116">
        <v>0</v>
      </c>
      <c r="G119" s="116">
        <v>119347900</v>
      </c>
      <c r="H119" s="116">
        <v>0</v>
      </c>
      <c r="J119" s="124">
        <f t="shared" si="11"/>
        <v>-119347900</v>
      </c>
    </row>
    <row r="120" spans="1:10">
      <c r="A120" s="102" t="s">
        <v>365</v>
      </c>
      <c r="B120" s="102" t="s">
        <v>366</v>
      </c>
      <c r="C120" s="116">
        <v>0</v>
      </c>
      <c r="D120" s="116">
        <v>0</v>
      </c>
      <c r="E120" s="116">
        <v>90359440</v>
      </c>
      <c r="F120" s="116">
        <v>0</v>
      </c>
      <c r="G120" s="116">
        <v>90359440</v>
      </c>
      <c r="H120" s="116">
        <v>0</v>
      </c>
      <c r="J120" s="124">
        <f t="shared" si="11"/>
        <v>-90359440</v>
      </c>
    </row>
    <row r="121" spans="1:10">
      <c r="A121" s="102" t="s">
        <v>367</v>
      </c>
      <c r="B121" s="102" t="s">
        <v>368</v>
      </c>
      <c r="C121" s="116">
        <v>0</v>
      </c>
      <c r="D121" s="116">
        <v>0</v>
      </c>
      <c r="E121" s="116">
        <v>27040033.18</v>
      </c>
      <c r="F121" s="116">
        <v>0</v>
      </c>
      <c r="G121" s="116">
        <v>27040033.18</v>
      </c>
      <c r="H121" s="116">
        <v>0</v>
      </c>
      <c r="J121" s="124">
        <f t="shared" si="11"/>
        <v>-27040033.18</v>
      </c>
    </row>
    <row r="122" spans="1:10">
      <c r="A122" s="102" t="s">
        <v>369</v>
      </c>
      <c r="B122" s="102" t="s">
        <v>370</v>
      </c>
      <c r="C122" s="116">
        <v>0</v>
      </c>
      <c r="D122" s="116">
        <v>0</v>
      </c>
      <c r="E122" s="116">
        <v>739132800</v>
      </c>
      <c r="F122" s="116">
        <v>40206720</v>
      </c>
      <c r="G122" s="116">
        <v>698926080</v>
      </c>
      <c r="H122" s="116">
        <v>0</v>
      </c>
      <c r="J122" s="124">
        <f t="shared" si="11"/>
        <v>-698926080</v>
      </c>
    </row>
    <row r="123" spans="1:10">
      <c r="A123" s="102" t="s">
        <v>371</v>
      </c>
      <c r="B123" s="102" t="s">
        <v>372</v>
      </c>
      <c r="C123" s="116">
        <v>0</v>
      </c>
      <c r="D123" s="116">
        <v>0</v>
      </c>
      <c r="E123" s="116">
        <v>20670000</v>
      </c>
      <c r="F123" s="116">
        <v>0</v>
      </c>
      <c r="G123" s="116">
        <v>20670000</v>
      </c>
      <c r="H123" s="116">
        <v>0</v>
      </c>
      <c r="J123" s="124">
        <f t="shared" si="11"/>
        <v>-20670000</v>
      </c>
    </row>
    <row r="124" spans="1:10">
      <c r="A124" s="102" t="s">
        <v>373</v>
      </c>
      <c r="B124" s="102" t="s">
        <v>374</v>
      </c>
      <c r="C124" s="116">
        <v>0</v>
      </c>
      <c r="D124" s="116">
        <v>0</v>
      </c>
      <c r="E124" s="116">
        <v>111875400</v>
      </c>
      <c r="F124" s="116">
        <v>0</v>
      </c>
      <c r="G124" s="116">
        <v>111875400</v>
      </c>
      <c r="H124" s="116">
        <v>0</v>
      </c>
      <c r="J124" s="124">
        <f t="shared" si="11"/>
        <v>-111875400</v>
      </c>
    </row>
    <row r="125" spans="1:10">
      <c r="A125" s="102" t="s">
        <v>375</v>
      </c>
      <c r="B125" s="102" t="s">
        <v>376</v>
      </c>
      <c r="C125" s="116">
        <v>0</v>
      </c>
      <c r="D125" s="116">
        <v>0</v>
      </c>
      <c r="E125" s="116">
        <v>61518000</v>
      </c>
      <c r="F125" s="116">
        <v>511000</v>
      </c>
      <c r="G125" s="116">
        <v>61007000</v>
      </c>
      <c r="H125" s="116">
        <v>0</v>
      </c>
      <c r="J125" s="124">
        <f t="shared" si="11"/>
        <v>-61007000</v>
      </c>
    </row>
    <row r="126" spans="1:10">
      <c r="A126" s="102" t="s">
        <v>377</v>
      </c>
      <c r="B126" s="102" t="s">
        <v>378</v>
      </c>
      <c r="C126" s="116">
        <v>0</v>
      </c>
      <c r="D126" s="116">
        <v>0</v>
      </c>
      <c r="E126" s="116">
        <v>64473000</v>
      </c>
      <c r="F126" s="116">
        <v>695000</v>
      </c>
      <c r="G126" s="116">
        <v>63778000</v>
      </c>
      <c r="H126" s="116">
        <v>0</v>
      </c>
      <c r="J126" s="124">
        <f t="shared" si="11"/>
        <v>-63778000</v>
      </c>
    </row>
    <row r="127" spans="1:10">
      <c r="A127" s="102" t="s">
        <v>379</v>
      </c>
      <c r="B127" s="102" t="s">
        <v>380</v>
      </c>
      <c r="C127" s="116">
        <v>0</v>
      </c>
      <c r="D127" s="116">
        <v>0</v>
      </c>
      <c r="E127" s="116">
        <v>1356318422.3399999</v>
      </c>
      <c r="F127" s="116">
        <v>1263138909.5</v>
      </c>
      <c r="G127" s="116">
        <v>93179512.839999855</v>
      </c>
      <c r="H127" s="116">
        <v>0</v>
      </c>
      <c r="J127" s="124">
        <f t="shared" si="11"/>
        <v>-93179512.839999914</v>
      </c>
    </row>
    <row r="128" spans="1:10">
      <c r="A128" s="102" t="s">
        <v>381</v>
      </c>
      <c r="B128" s="102" t="s">
        <v>382</v>
      </c>
      <c r="C128" s="116">
        <v>0</v>
      </c>
      <c r="D128" s="116">
        <v>0</v>
      </c>
      <c r="E128" s="116">
        <v>3688560.4</v>
      </c>
      <c r="F128" s="116">
        <v>0</v>
      </c>
      <c r="G128" s="116">
        <v>3688560.4</v>
      </c>
      <c r="H128" s="116">
        <v>0</v>
      </c>
      <c r="J128" s="124">
        <f t="shared" si="11"/>
        <v>-3688560.4</v>
      </c>
    </row>
    <row r="129" spans="1:10">
      <c r="A129" s="102" t="s">
        <v>383</v>
      </c>
      <c r="B129" s="102" t="s">
        <v>384</v>
      </c>
      <c r="C129" s="116">
        <v>0</v>
      </c>
      <c r="D129" s="116">
        <v>0</v>
      </c>
      <c r="E129" s="116">
        <v>927890415.04999995</v>
      </c>
      <c r="F129" s="116">
        <v>764374014.04999995</v>
      </c>
      <c r="G129" s="116">
        <v>163516401</v>
      </c>
      <c r="H129" s="116">
        <v>0</v>
      </c>
      <c r="J129" s="124">
        <f t="shared" si="11"/>
        <v>-163516401</v>
      </c>
    </row>
    <row r="130" spans="1:10">
      <c r="A130" s="102" t="s">
        <v>385</v>
      </c>
      <c r="B130" s="102" t="s">
        <v>386</v>
      </c>
      <c r="C130" s="116">
        <v>0</v>
      </c>
      <c r="D130" s="116">
        <v>0</v>
      </c>
      <c r="E130" s="116">
        <v>271695632.84999996</v>
      </c>
      <c r="F130" s="116">
        <v>145214.20000000001</v>
      </c>
      <c r="G130" s="116">
        <v>271550418.64999998</v>
      </c>
      <c r="H130" s="116">
        <v>0</v>
      </c>
      <c r="J130" s="124">
        <f t="shared" si="11"/>
        <v>-271550418.64999998</v>
      </c>
    </row>
    <row r="131" spans="1:10">
      <c r="A131" s="102" t="s">
        <v>387</v>
      </c>
      <c r="B131" s="102" t="s">
        <v>388</v>
      </c>
      <c r="C131" s="116">
        <v>0</v>
      </c>
      <c r="D131" s="116">
        <v>0</v>
      </c>
      <c r="E131" s="116">
        <v>5594606.5499999998</v>
      </c>
      <c r="F131" s="116">
        <v>0</v>
      </c>
      <c r="G131" s="116">
        <v>5594606.5499999998</v>
      </c>
      <c r="H131" s="116">
        <v>0</v>
      </c>
      <c r="J131" s="124">
        <f t="shared" si="11"/>
        <v>-5594606.5499999998</v>
      </c>
    </row>
    <row r="132" spans="1:10">
      <c r="A132" s="102" t="s">
        <v>389</v>
      </c>
      <c r="B132" s="102" t="s">
        <v>390</v>
      </c>
      <c r="C132" s="116">
        <v>0</v>
      </c>
      <c r="D132" s="116">
        <v>0</v>
      </c>
      <c r="E132" s="116">
        <v>4879003.04</v>
      </c>
      <c r="F132" s="116">
        <v>1150073.03</v>
      </c>
      <c r="G132" s="116">
        <v>3728930.01</v>
      </c>
      <c r="H132" s="116">
        <v>0</v>
      </c>
      <c r="J132" s="124">
        <f t="shared" si="11"/>
        <v>-3728930.01</v>
      </c>
    </row>
    <row r="133" spans="1:10">
      <c r="A133" s="102" t="s">
        <v>391</v>
      </c>
      <c r="B133" s="102" t="s">
        <v>392</v>
      </c>
      <c r="C133" s="116">
        <v>0</v>
      </c>
      <c r="D133" s="116">
        <v>0</v>
      </c>
      <c r="E133" s="116">
        <v>34084178.850000001</v>
      </c>
      <c r="F133" s="116">
        <v>120000</v>
      </c>
      <c r="G133" s="116">
        <v>33964178.850000001</v>
      </c>
      <c r="H133" s="116">
        <v>0</v>
      </c>
      <c r="J133" s="124">
        <f t="shared" si="11"/>
        <v>-33964178.850000001</v>
      </c>
    </row>
    <row r="134" spans="1:10">
      <c r="A134" s="102" t="s">
        <v>393</v>
      </c>
      <c r="B134" s="102" t="s">
        <v>394</v>
      </c>
      <c r="C134" s="116">
        <v>0</v>
      </c>
      <c r="D134" s="116">
        <v>0</v>
      </c>
      <c r="E134" s="116">
        <v>33621600</v>
      </c>
      <c r="F134" s="116">
        <v>0</v>
      </c>
      <c r="G134" s="116">
        <v>33621600</v>
      </c>
      <c r="H134" s="116">
        <v>0</v>
      </c>
      <c r="J134" s="124">
        <f t="shared" si="11"/>
        <v>-33621600</v>
      </c>
    </row>
    <row r="135" spans="1:10">
      <c r="A135" s="102" t="s">
        <v>395</v>
      </c>
      <c r="B135" s="102" t="s">
        <v>396</v>
      </c>
      <c r="C135" s="116">
        <v>0</v>
      </c>
      <c r="D135" s="116">
        <v>0</v>
      </c>
      <c r="E135" s="116">
        <v>22421438.170000002</v>
      </c>
      <c r="F135" s="116">
        <v>0</v>
      </c>
      <c r="G135" s="116">
        <v>22421438.170000002</v>
      </c>
      <c r="H135" s="116">
        <v>0</v>
      </c>
      <c r="J135" s="124">
        <f t="shared" si="11"/>
        <v>-22421438.170000002</v>
      </c>
    </row>
    <row r="136" spans="1:10">
      <c r="A136" s="102" t="s">
        <v>397</v>
      </c>
      <c r="B136" s="102" t="s">
        <v>398</v>
      </c>
      <c r="C136" s="116">
        <v>0</v>
      </c>
      <c r="D136" s="116">
        <v>0</v>
      </c>
      <c r="E136" s="116">
        <v>6588400</v>
      </c>
      <c r="F136" s="116">
        <v>0</v>
      </c>
      <c r="G136" s="116">
        <v>6588400</v>
      </c>
      <c r="H136" s="116">
        <v>0</v>
      </c>
      <c r="J136" s="124">
        <f t="shared" si="11"/>
        <v>-6588400</v>
      </c>
    </row>
    <row r="137" spans="1:10">
      <c r="A137" s="102" t="s">
        <v>399</v>
      </c>
      <c r="B137" s="102" t="s">
        <v>400</v>
      </c>
      <c r="C137" s="116">
        <v>0</v>
      </c>
      <c r="D137" s="116">
        <v>0</v>
      </c>
      <c r="E137" s="116">
        <v>4200000</v>
      </c>
      <c r="F137" s="116">
        <v>0</v>
      </c>
      <c r="G137" s="116">
        <v>4200000</v>
      </c>
      <c r="H137" s="116">
        <v>0</v>
      </c>
      <c r="J137" s="124">
        <f t="shared" si="11"/>
        <v>-4200000</v>
      </c>
    </row>
    <row r="138" spans="1:10">
      <c r="A138" s="102" t="s">
        <v>401</v>
      </c>
      <c r="B138" s="102" t="s">
        <v>402</v>
      </c>
      <c r="C138" s="116">
        <v>0</v>
      </c>
      <c r="D138" s="116">
        <v>0</v>
      </c>
      <c r="E138" s="116">
        <v>76310610.13000001</v>
      </c>
      <c r="F138" s="116">
        <v>3184500</v>
      </c>
      <c r="G138" s="116">
        <v>73126110.13000001</v>
      </c>
      <c r="H138" s="116">
        <v>0</v>
      </c>
      <c r="J138" s="124">
        <f t="shared" si="11"/>
        <v>-73126110.13000001</v>
      </c>
    </row>
    <row r="139" spans="1:10">
      <c r="A139" s="102" t="s">
        <v>403</v>
      </c>
      <c r="B139" s="102" t="s">
        <v>404</v>
      </c>
      <c r="C139" s="116">
        <v>0</v>
      </c>
      <c r="D139" s="116">
        <v>0</v>
      </c>
      <c r="E139" s="116">
        <v>1778000</v>
      </c>
      <c r="F139" s="116">
        <v>0</v>
      </c>
      <c r="G139" s="116">
        <v>1778000</v>
      </c>
      <c r="H139" s="116">
        <v>0</v>
      </c>
      <c r="J139" s="124">
        <f t="shared" si="11"/>
        <v>-1778000</v>
      </c>
    </row>
    <row r="140" spans="1:10">
      <c r="A140" s="102" t="s">
        <v>405</v>
      </c>
      <c r="B140" s="102" t="s">
        <v>406</v>
      </c>
      <c r="C140" s="116">
        <v>0</v>
      </c>
      <c r="D140" s="116">
        <v>0</v>
      </c>
      <c r="E140" s="116">
        <v>29094624</v>
      </c>
      <c r="F140" s="116">
        <v>7913637</v>
      </c>
      <c r="G140" s="116">
        <v>21180987</v>
      </c>
      <c r="H140" s="116">
        <v>0</v>
      </c>
      <c r="J140" s="124">
        <f t="shared" si="11"/>
        <v>-21180987</v>
      </c>
    </row>
    <row r="141" spans="1:10">
      <c r="A141" s="102" t="s">
        <v>407</v>
      </c>
      <c r="B141" s="102" t="s">
        <v>408</v>
      </c>
      <c r="C141" s="116">
        <v>0</v>
      </c>
      <c r="D141" s="116">
        <v>0</v>
      </c>
      <c r="E141" s="116">
        <v>46372061.969999999</v>
      </c>
      <c r="F141" s="116">
        <v>6854284.7999999998</v>
      </c>
      <c r="G141" s="116">
        <v>39517777.170000002</v>
      </c>
      <c r="H141" s="116">
        <v>0</v>
      </c>
      <c r="J141" s="124">
        <f t="shared" si="11"/>
        <v>-39517777.170000002</v>
      </c>
    </row>
    <row r="142" spans="1:10">
      <c r="A142" s="102" t="s">
        <v>409</v>
      </c>
      <c r="B142" s="102" t="s">
        <v>410</v>
      </c>
      <c r="C142" s="116">
        <v>0</v>
      </c>
      <c r="D142" s="116">
        <v>0</v>
      </c>
      <c r="E142" s="116">
        <v>146150000</v>
      </c>
      <c r="F142" s="116">
        <v>6660000</v>
      </c>
      <c r="G142" s="116">
        <v>139490000</v>
      </c>
      <c r="H142" s="116">
        <v>0</v>
      </c>
      <c r="J142" s="124">
        <f t="shared" si="11"/>
        <v>-139490000</v>
      </c>
    </row>
    <row r="143" spans="1:10">
      <c r="A143" s="102" t="s">
        <v>411</v>
      </c>
      <c r="B143" s="102" t="s">
        <v>412</v>
      </c>
      <c r="C143" s="116">
        <v>0</v>
      </c>
      <c r="D143" s="116">
        <v>0</v>
      </c>
      <c r="E143" s="116">
        <v>8255500</v>
      </c>
      <c r="F143" s="116">
        <v>0</v>
      </c>
      <c r="G143" s="116">
        <v>8255500</v>
      </c>
      <c r="H143" s="116">
        <v>0</v>
      </c>
      <c r="J143" s="124">
        <f t="shared" si="11"/>
        <v>-8255500</v>
      </c>
    </row>
    <row r="144" spans="1:10">
      <c r="A144" s="102" t="s">
        <v>413</v>
      </c>
      <c r="B144" s="102" t="s">
        <v>414</v>
      </c>
      <c r="C144" s="116">
        <v>0</v>
      </c>
      <c r="D144" s="116">
        <v>0</v>
      </c>
      <c r="E144" s="116">
        <v>160720</v>
      </c>
      <c r="F144" s="116">
        <v>0</v>
      </c>
      <c r="G144" s="116">
        <v>160720</v>
      </c>
      <c r="H144" s="116">
        <v>0</v>
      </c>
      <c r="J144" s="124">
        <f t="shared" si="11"/>
        <v>-160720</v>
      </c>
    </row>
    <row r="145" spans="1:10">
      <c r="A145" s="102" t="s">
        <v>415</v>
      </c>
      <c r="B145" s="102" t="s">
        <v>416</v>
      </c>
      <c r="C145" s="116">
        <v>0</v>
      </c>
      <c r="D145" s="116">
        <v>0</v>
      </c>
      <c r="E145" s="116">
        <v>300000</v>
      </c>
      <c r="F145" s="116">
        <v>0</v>
      </c>
      <c r="G145" s="116">
        <v>300000</v>
      </c>
      <c r="H145" s="116">
        <v>0</v>
      </c>
      <c r="J145" s="124">
        <f t="shared" si="11"/>
        <v>-300000</v>
      </c>
    </row>
    <row r="146" spans="1:10">
      <c r="A146" s="102" t="s">
        <v>417</v>
      </c>
      <c r="B146" s="102" t="s">
        <v>418</v>
      </c>
      <c r="C146" s="116">
        <v>0</v>
      </c>
      <c r="D146" s="116">
        <v>0</v>
      </c>
      <c r="E146" s="116">
        <v>10398961</v>
      </c>
      <c r="F146" s="116">
        <v>0</v>
      </c>
      <c r="G146" s="116">
        <v>10398961</v>
      </c>
      <c r="H146" s="116">
        <v>0</v>
      </c>
      <c r="J146" s="124">
        <f t="shared" si="11"/>
        <v>-10398961</v>
      </c>
    </row>
    <row r="147" spans="1:10">
      <c r="A147" s="102" t="s">
        <v>419</v>
      </c>
      <c r="B147" s="102" t="s">
        <v>420</v>
      </c>
      <c r="C147" s="116">
        <v>0</v>
      </c>
      <c r="D147" s="116">
        <v>0</v>
      </c>
      <c r="E147" s="116">
        <v>91681744.160000026</v>
      </c>
      <c r="F147" s="116">
        <v>11385971.9</v>
      </c>
      <c r="G147" s="116">
        <v>80295772.26000002</v>
      </c>
      <c r="H147" s="116">
        <v>0</v>
      </c>
      <c r="J147" s="124">
        <f t="shared" si="11"/>
        <v>-80295772.26000002</v>
      </c>
    </row>
    <row r="148" spans="1:10">
      <c r="A148" s="102" t="s">
        <v>421</v>
      </c>
      <c r="B148" s="102" t="s">
        <v>422</v>
      </c>
      <c r="C148" s="116">
        <v>0</v>
      </c>
      <c r="D148" s="116">
        <v>0</v>
      </c>
      <c r="E148" s="116">
        <v>300000</v>
      </c>
      <c r="F148" s="116">
        <v>0</v>
      </c>
      <c r="G148" s="116">
        <v>300000</v>
      </c>
      <c r="H148" s="116">
        <v>0</v>
      </c>
      <c r="J148" s="124">
        <f t="shared" si="11"/>
        <v>-300000</v>
      </c>
    </row>
    <row r="149" spans="1:10">
      <c r="A149" s="102" t="s">
        <v>423</v>
      </c>
      <c r="B149" s="102" t="s">
        <v>424</v>
      </c>
      <c r="C149" s="116">
        <v>0</v>
      </c>
      <c r="D149" s="116">
        <v>0</v>
      </c>
      <c r="E149" s="116">
        <v>77820768.969999999</v>
      </c>
      <c r="F149" s="116">
        <v>0</v>
      </c>
      <c r="G149" s="116">
        <v>77820768.969999999</v>
      </c>
      <c r="H149" s="116">
        <v>0</v>
      </c>
      <c r="J149" s="124">
        <f t="shared" si="11"/>
        <v>-77820768.969999999</v>
      </c>
    </row>
    <row r="150" spans="1:10">
      <c r="A150" s="102" t="s">
        <v>425</v>
      </c>
      <c r="B150" s="102" t="s">
        <v>426</v>
      </c>
      <c r="C150" s="116">
        <v>0</v>
      </c>
      <c r="D150" s="116">
        <v>0</v>
      </c>
      <c r="E150" s="116">
        <v>9983400</v>
      </c>
      <c r="F150" s="116">
        <v>0</v>
      </c>
      <c r="G150" s="116">
        <v>9983400</v>
      </c>
      <c r="H150" s="116">
        <v>0</v>
      </c>
      <c r="J150" s="124">
        <f t="shared" si="11"/>
        <v>-9983400</v>
      </c>
    </row>
    <row r="151" spans="1:10">
      <c r="A151" s="102" t="s">
        <v>427</v>
      </c>
      <c r="B151" s="102" t="s">
        <v>428</v>
      </c>
      <c r="C151" s="116">
        <v>0</v>
      </c>
      <c r="D151" s="116">
        <v>0</v>
      </c>
      <c r="E151" s="116">
        <v>17332000</v>
      </c>
      <c r="F151" s="116">
        <v>0</v>
      </c>
      <c r="G151" s="116">
        <v>17332000</v>
      </c>
      <c r="H151" s="116">
        <v>0</v>
      </c>
      <c r="J151" s="124">
        <f t="shared" ref="J151:J169" si="12">F151-E151</f>
        <v>-17332000</v>
      </c>
    </row>
    <row r="152" spans="1:10">
      <c r="A152" s="102" t="s">
        <v>429</v>
      </c>
      <c r="B152" s="102" t="s">
        <v>430</v>
      </c>
      <c r="C152" s="116">
        <v>0</v>
      </c>
      <c r="D152" s="116">
        <v>0</v>
      </c>
      <c r="E152" s="116">
        <v>57252190.400000006</v>
      </c>
      <c r="F152" s="116">
        <v>0</v>
      </c>
      <c r="G152" s="116">
        <v>57252190.400000006</v>
      </c>
      <c r="H152" s="116">
        <v>0</v>
      </c>
      <c r="J152" s="124">
        <f t="shared" si="12"/>
        <v>-57252190.400000006</v>
      </c>
    </row>
    <row r="153" spans="1:10">
      <c r="A153" s="102" t="s">
        <v>431</v>
      </c>
      <c r="B153" s="102" t="s">
        <v>432</v>
      </c>
      <c r="C153" s="116">
        <v>0</v>
      </c>
      <c r="D153" s="116">
        <v>0</v>
      </c>
      <c r="E153" s="116">
        <v>646173449.01999998</v>
      </c>
      <c r="F153" s="116">
        <v>439399002.91000003</v>
      </c>
      <c r="G153" s="116">
        <v>206774446.11000001</v>
      </c>
      <c r="H153" s="116">
        <v>0</v>
      </c>
      <c r="J153" s="124">
        <f t="shared" si="12"/>
        <v>-206774446.10999995</v>
      </c>
    </row>
    <row r="154" spans="1:10">
      <c r="A154" s="102" t="s">
        <v>433</v>
      </c>
      <c r="B154" s="102" t="s">
        <v>434</v>
      </c>
      <c r="C154" s="116">
        <v>0</v>
      </c>
      <c r="D154" s="116">
        <v>0</v>
      </c>
      <c r="E154" s="116">
        <v>24663525</v>
      </c>
      <c r="F154" s="116">
        <v>0</v>
      </c>
      <c r="G154" s="116">
        <v>24663525</v>
      </c>
      <c r="H154" s="116">
        <v>0</v>
      </c>
      <c r="J154" s="124">
        <f t="shared" si="12"/>
        <v>-24663525</v>
      </c>
    </row>
    <row r="155" spans="1:10">
      <c r="A155" s="102" t="s">
        <v>435</v>
      </c>
      <c r="B155" s="102" t="s">
        <v>436</v>
      </c>
      <c r="C155" s="116">
        <v>0</v>
      </c>
      <c r="D155" s="116">
        <v>0</v>
      </c>
      <c r="E155" s="116">
        <v>10885548.84</v>
      </c>
      <c r="F155" s="116">
        <v>0</v>
      </c>
      <c r="G155" s="116">
        <v>10885548.84</v>
      </c>
      <c r="H155" s="116">
        <v>0</v>
      </c>
      <c r="J155" s="128">
        <f t="shared" si="12"/>
        <v>-10885548.84</v>
      </c>
    </row>
    <row r="156" spans="1:10">
      <c r="A156" s="102" t="s">
        <v>437</v>
      </c>
      <c r="B156" s="102" t="s">
        <v>438</v>
      </c>
      <c r="C156" s="116">
        <v>0</v>
      </c>
      <c r="D156" s="116">
        <v>0</v>
      </c>
      <c r="E156" s="116">
        <v>124442352.95000003</v>
      </c>
      <c r="F156" s="116">
        <v>0</v>
      </c>
      <c r="G156" s="116">
        <v>124442352.95000003</v>
      </c>
      <c r="H156" s="116">
        <v>0</v>
      </c>
      <c r="J156" s="124">
        <f t="shared" si="12"/>
        <v>-124442352.95000003</v>
      </c>
    </row>
    <row r="157" spans="1:10">
      <c r="A157" s="102" t="s">
        <v>439</v>
      </c>
      <c r="B157" s="102" t="s">
        <v>440</v>
      </c>
      <c r="C157" s="116">
        <v>0</v>
      </c>
      <c r="D157" s="116">
        <v>0</v>
      </c>
      <c r="E157" s="116">
        <v>155817860.18000004</v>
      </c>
      <c r="F157" s="116">
        <v>0</v>
      </c>
      <c r="G157" s="116">
        <v>155817860.18000004</v>
      </c>
      <c r="H157" s="116">
        <v>0</v>
      </c>
      <c r="J157" s="124">
        <f t="shared" si="12"/>
        <v>-155817860.18000004</v>
      </c>
    </row>
    <row r="158" spans="1:10">
      <c r="A158" s="102" t="s">
        <v>441</v>
      </c>
      <c r="B158" s="102" t="s">
        <v>442</v>
      </c>
      <c r="C158" s="116">
        <v>0</v>
      </c>
      <c r="D158" s="116">
        <v>0</v>
      </c>
      <c r="E158" s="116">
        <v>63897226.840000026</v>
      </c>
      <c r="F158" s="116">
        <v>0</v>
      </c>
      <c r="G158" s="116">
        <v>63897226.840000026</v>
      </c>
      <c r="H158" s="116">
        <v>0</v>
      </c>
      <c r="J158" s="124">
        <f t="shared" si="12"/>
        <v>-63897226.840000026</v>
      </c>
    </row>
    <row r="159" spans="1:10">
      <c r="A159" s="102" t="s">
        <v>443</v>
      </c>
      <c r="B159" s="102" t="s">
        <v>444</v>
      </c>
      <c r="C159" s="116">
        <v>0</v>
      </c>
      <c r="D159" s="116">
        <v>0</v>
      </c>
      <c r="E159" s="116">
        <v>12802457.259999998</v>
      </c>
      <c r="F159" s="116">
        <v>0</v>
      </c>
      <c r="G159" s="116">
        <v>12802457.259999998</v>
      </c>
      <c r="H159" s="116">
        <v>0</v>
      </c>
      <c r="J159" s="124">
        <f t="shared" si="12"/>
        <v>-12802457.259999998</v>
      </c>
    </row>
    <row r="160" spans="1:10">
      <c r="A160" s="102" t="s">
        <v>445</v>
      </c>
      <c r="B160" s="102" t="s">
        <v>446</v>
      </c>
      <c r="C160" s="116">
        <v>0</v>
      </c>
      <c r="D160" s="116">
        <v>0</v>
      </c>
      <c r="E160" s="116">
        <v>37978166.580000006</v>
      </c>
      <c r="F160" s="116">
        <v>0</v>
      </c>
      <c r="G160" s="116">
        <v>37978166.580000006</v>
      </c>
      <c r="H160" s="116">
        <v>0</v>
      </c>
      <c r="J160" s="124">
        <f>F160-E160</f>
        <v>-37978166.580000006</v>
      </c>
    </row>
    <row r="161" spans="1:10">
      <c r="A161" s="102" t="s">
        <v>447</v>
      </c>
      <c r="B161" s="102" t="s">
        <v>448</v>
      </c>
      <c r="C161" s="116">
        <v>0</v>
      </c>
      <c r="D161" s="116">
        <v>0</v>
      </c>
      <c r="E161" s="116">
        <v>35543316.400000021</v>
      </c>
      <c r="F161" s="116">
        <v>0</v>
      </c>
      <c r="G161" s="116">
        <v>35543316.400000021</v>
      </c>
      <c r="H161" s="116">
        <v>0</v>
      </c>
      <c r="J161" s="124">
        <f t="shared" si="12"/>
        <v>-35543316.400000021</v>
      </c>
    </row>
    <row r="162" spans="1:10">
      <c r="A162" s="102" t="s">
        <v>449</v>
      </c>
      <c r="B162" s="102" t="s">
        <v>450</v>
      </c>
      <c r="C162" s="116">
        <v>0</v>
      </c>
      <c r="D162" s="116">
        <v>0</v>
      </c>
      <c r="E162" s="116">
        <v>1534074968.8699999</v>
      </c>
      <c r="F162" s="116">
        <v>0</v>
      </c>
      <c r="G162" s="116">
        <v>1534074968.8699999</v>
      </c>
      <c r="H162" s="116">
        <v>0</v>
      </c>
      <c r="J162" s="127">
        <f t="shared" ref="J162:J166" si="13">F162-E162</f>
        <v>-1534074968.8699999</v>
      </c>
    </row>
    <row r="163" spans="1:10">
      <c r="A163" s="102" t="s">
        <v>451</v>
      </c>
      <c r="B163" s="102" t="s">
        <v>452</v>
      </c>
      <c r="C163" s="116">
        <v>0</v>
      </c>
      <c r="D163" s="116">
        <v>0</v>
      </c>
      <c r="E163" s="116">
        <v>860958904</v>
      </c>
      <c r="F163" s="116">
        <v>6161401690.3399992</v>
      </c>
      <c r="G163" s="116">
        <v>0</v>
      </c>
      <c r="H163" s="116">
        <v>5300442786.3399992</v>
      </c>
      <c r="J163" s="124">
        <f t="shared" si="13"/>
        <v>5300442786.3399992</v>
      </c>
    </row>
    <row r="164" spans="1:10">
      <c r="A164" s="102" t="s">
        <v>453</v>
      </c>
      <c r="B164" s="102" t="s">
        <v>454</v>
      </c>
      <c r="C164" s="116">
        <v>0</v>
      </c>
      <c r="D164" s="116">
        <v>0</v>
      </c>
      <c r="E164" s="116">
        <v>1680000</v>
      </c>
      <c r="F164" s="116">
        <v>0</v>
      </c>
      <c r="G164" s="116">
        <v>1680000</v>
      </c>
      <c r="H164" s="116">
        <v>0</v>
      </c>
      <c r="J164" s="124">
        <f>F164-E164</f>
        <v>-1680000</v>
      </c>
    </row>
    <row r="165" spans="1:10">
      <c r="A165" s="102" t="s">
        <v>455</v>
      </c>
      <c r="B165" s="102" t="s">
        <v>456</v>
      </c>
      <c r="C165" s="116">
        <v>0</v>
      </c>
      <c r="D165" s="116">
        <v>0</v>
      </c>
      <c r="E165" s="116">
        <v>1903310</v>
      </c>
      <c r="F165" s="116">
        <v>0</v>
      </c>
      <c r="G165" s="116">
        <v>1903310</v>
      </c>
      <c r="H165" s="116">
        <v>0</v>
      </c>
      <c r="J165" s="124">
        <f t="shared" si="13"/>
        <v>-1903310</v>
      </c>
    </row>
    <row r="166" spans="1:10">
      <c r="A166" s="102" t="s">
        <v>457</v>
      </c>
      <c r="B166" s="102" t="s">
        <v>458</v>
      </c>
      <c r="C166" s="116">
        <v>0</v>
      </c>
      <c r="D166" s="116">
        <v>0</v>
      </c>
      <c r="E166" s="116">
        <v>323955265.02999997</v>
      </c>
      <c r="F166" s="116">
        <v>401906494.95999998</v>
      </c>
      <c r="G166" s="116">
        <v>0</v>
      </c>
      <c r="H166" s="116">
        <v>77951229.930000037</v>
      </c>
      <c r="J166" s="124">
        <f t="shared" si="13"/>
        <v>77951229.930000007</v>
      </c>
    </row>
    <row r="167" spans="1:10">
      <c r="A167" s="102" t="s">
        <v>459</v>
      </c>
      <c r="B167" s="102" t="s">
        <v>460</v>
      </c>
      <c r="C167" s="116">
        <v>0</v>
      </c>
      <c r="D167" s="116">
        <v>0</v>
      </c>
      <c r="E167" s="116">
        <v>0</v>
      </c>
      <c r="F167" s="116">
        <v>19221320</v>
      </c>
      <c r="G167" s="116">
        <v>0</v>
      </c>
      <c r="H167" s="116">
        <v>19221320</v>
      </c>
      <c r="J167" s="124">
        <f>F167-E167</f>
        <v>19221320</v>
      </c>
    </row>
    <row r="168" spans="1:10">
      <c r="A168" s="102" t="s">
        <v>461</v>
      </c>
      <c r="B168" s="102" t="s">
        <v>462</v>
      </c>
      <c r="C168" s="116">
        <v>0</v>
      </c>
      <c r="D168" s="116">
        <v>0</v>
      </c>
      <c r="E168" s="116">
        <v>161718807.46999994</v>
      </c>
      <c r="F168" s="116">
        <v>5975049.8099999996</v>
      </c>
      <c r="G168" s="116">
        <v>155743757.65999994</v>
      </c>
      <c r="H168" s="116">
        <v>0</v>
      </c>
      <c r="J168" s="124">
        <f t="shared" si="12"/>
        <v>-155743757.65999994</v>
      </c>
    </row>
    <row r="169" spans="1:10">
      <c r="A169" s="102" t="s">
        <v>463</v>
      </c>
      <c r="B169" s="102" t="s">
        <v>464</v>
      </c>
      <c r="C169" s="116">
        <v>0</v>
      </c>
      <c r="D169" s="116">
        <v>0</v>
      </c>
      <c r="E169" s="116">
        <v>0</v>
      </c>
      <c r="F169" s="116">
        <v>1698263965</v>
      </c>
      <c r="G169" s="116">
        <v>0</v>
      </c>
      <c r="H169" s="116">
        <v>1698263965</v>
      </c>
      <c r="J169" s="124">
        <f t="shared" si="12"/>
        <v>1698263965</v>
      </c>
    </row>
    <row r="170" spans="1:10">
      <c r="A170" s="102" t="s">
        <v>465</v>
      </c>
      <c r="B170" s="102" t="s">
        <v>466</v>
      </c>
      <c r="C170" s="116">
        <v>0</v>
      </c>
      <c r="D170" s="116">
        <v>0</v>
      </c>
      <c r="E170" s="116">
        <v>0</v>
      </c>
      <c r="F170" s="116">
        <v>4337669585.5500002</v>
      </c>
      <c r="G170" s="116">
        <v>0</v>
      </c>
      <c r="H170" s="116">
        <v>4337669585.5500002</v>
      </c>
      <c r="J170" s="124">
        <f>F170-E170</f>
        <v>4337669585.5500002</v>
      </c>
    </row>
    <row r="171" spans="1:10">
      <c r="A171" s="102" t="s">
        <v>467</v>
      </c>
      <c r="B171" s="102" t="s">
        <v>468</v>
      </c>
      <c r="C171" s="116">
        <v>0</v>
      </c>
      <c r="D171" s="116">
        <v>0</v>
      </c>
      <c r="E171" s="116">
        <v>0</v>
      </c>
      <c r="F171" s="116">
        <v>42790745204</v>
      </c>
      <c r="G171" s="116">
        <v>0</v>
      </c>
      <c r="H171" s="116">
        <v>42790745204</v>
      </c>
      <c r="J171" s="124">
        <f>F171-E171</f>
        <v>42790745204</v>
      </c>
    </row>
    <row r="172" spans="1:10">
      <c r="A172" s="102" t="s">
        <v>469</v>
      </c>
      <c r="B172" s="102" t="s">
        <v>470</v>
      </c>
      <c r="C172" s="116">
        <v>0</v>
      </c>
      <c r="D172" s="116">
        <v>0</v>
      </c>
      <c r="E172" s="116">
        <v>0</v>
      </c>
      <c r="F172" s="116">
        <v>15099334.529999999</v>
      </c>
      <c r="G172" s="116">
        <v>0</v>
      </c>
      <c r="H172" s="116">
        <v>15099334.529999999</v>
      </c>
      <c r="J172" s="124">
        <f>F172-E172</f>
        <v>15099334.529999999</v>
      </c>
    </row>
    <row r="173" spans="1:10">
      <c r="A173" s="102"/>
      <c r="B173" s="102"/>
      <c r="C173" s="116"/>
      <c r="D173" s="116"/>
      <c r="E173" s="116"/>
      <c r="F173" s="116"/>
      <c r="G173" s="116"/>
      <c r="H173" s="116"/>
    </row>
    <row r="174" spans="1:10">
      <c r="A174" s="102"/>
      <c r="B174" s="102"/>
      <c r="C174" s="117">
        <f t="shared" ref="C174:D174" si="14">SUM(C86:C173)</f>
        <v>0</v>
      </c>
      <c r="D174" s="117">
        <f t="shared" si="14"/>
        <v>0</v>
      </c>
      <c r="E174" s="117">
        <f t="shared" ref="E174:F174" si="15">SUM(E86:E173)</f>
        <v>54556956814.909996</v>
      </c>
      <c r="F174" s="117">
        <f t="shared" si="15"/>
        <v>58321172365</v>
      </c>
      <c r="G174" s="117">
        <f>SUM(G86:G173)</f>
        <v>50475177875.260002</v>
      </c>
      <c r="H174" s="117">
        <f>SUM(H86:H173)</f>
        <v>54239393425.349998</v>
      </c>
      <c r="I174" s="117">
        <f>SUM(I86:I173)</f>
        <v>0</v>
      </c>
      <c r="J174" s="117">
        <f>SUM(J86:J173)</f>
        <v>3764215550.0899978</v>
      </c>
    </row>
    <row r="175" spans="1:10">
      <c r="A175" s="102"/>
      <c r="B175" s="102"/>
      <c r="C175" s="116"/>
      <c r="D175" s="116"/>
      <c r="E175" s="116"/>
      <c r="F175" s="116"/>
      <c r="G175" s="116"/>
      <c r="H175" s="116"/>
    </row>
    <row r="176" spans="1:10">
      <c r="A176" s="102"/>
      <c r="B176" s="102"/>
      <c r="C176" s="116"/>
      <c r="D176" s="116"/>
      <c r="E176" s="116"/>
      <c r="F176" s="116">
        <f>F174-E174</f>
        <v>3764215550.090004</v>
      </c>
      <c r="G176" s="116"/>
      <c r="H176" s="116">
        <f>H174-G174</f>
        <v>3764215550.0899963</v>
      </c>
      <c r="J176" s="117">
        <f>J174-H83</f>
        <v>0</v>
      </c>
    </row>
    <row r="177" spans="1:23">
      <c r="A177" s="102"/>
      <c r="B177" s="102"/>
      <c r="C177" s="116"/>
      <c r="D177" s="116"/>
      <c r="E177" s="116"/>
      <c r="F177" s="116"/>
      <c r="G177" s="116"/>
      <c r="H177" s="116"/>
    </row>
    <row r="178" spans="1:23">
      <c r="A178" s="102"/>
      <c r="B178" s="102"/>
      <c r="C178" s="116"/>
      <c r="D178" s="116"/>
      <c r="E178" s="116"/>
      <c r="F178" s="116"/>
      <c r="G178" s="116"/>
      <c r="H178" s="116"/>
    </row>
    <row r="179" spans="1:23">
      <c r="A179" s="102"/>
      <c r="B179" s="102"/>
      <c r="C179" s="116"/>
      <c r="D179" s="116"/>
      <c r="E179" s="116"/>
      <c r="F179" s="116"/>
      <c r="G179" s="116"/>
      <c r="H179" s="116"/>
    </row>
    <row r="180" spans="1:23">
      <c r="A180" s="102"/>
      <c r="B180" s="102"/>
      <c r="C180" s="116"/>
      <c r="D180" s="116"/>
      <c r="E180" s="116"/>
      <c r="F180" s="116"/>
      <c r="G180" s="116"/>
      <c r="H180" s="116"/>
    </row>
    <row r="181" spans="1:23">
      <c r="B181" s="102" t="s">
        <v>471</v>
      </c>
      <c r="C181" s="116">
        <v>140967418848.20001</v>
      </c>
      <c r="D181" s="116">
        <v>140967418848.20001</v>
      </c>
      <c r="E181" s="116">
        <v>3069733838825.9102</v>
      </c>
      <c r="F181" s="116">
        <v>3069733838825.9102</v>
      </c>
      <c r="G181" s="116">
        <v>213460451884.85004</v>
      </c>
      <c r="H181" s="116">
        <v>213460451884.85001</v>
      </c>
      <c r="R181" s="102"/>
      <c r="S181" s="102"/>
      <c r="T181" s="102"/>
      <c r="U181" s="102"/>
      <c r="V181" s="102"/>
      <c r="W181" s="102"/>
    </row>
    <row r="182" spans="1:23">
      <c r="A182" s="112"/>
    </row>
    <row r="183" spans="1:23">
      <c r="B183" s="102"/>
      <c r="C183" s="116" t="s">
        <v>265</v>
      </c>
      <c r="D183" s="116" t="s">
        <v>266</v>
      </c>
      <c r="E183" s="116" t="s">
        <v>267</v>
      </c>
      <c r="F183" s="116" t="s">
        <v>268</v>
      </c>
      <c r="G183" s="116" t="s">
        <v>269</v>
      </c>
      <c r="H183" s="116" t="s">
        <v>270</v>
      </c>
      <c r="I183" s="118" t="s">
        <v>270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R138"/>
  <sheetViews>
    <sheetView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I6" sqref="I6:I24"/>
    </sheetView>
  </sheetViews>
  <sheetFormatPr defaultRowHeight="15.75"/>
  <cols>
    <col min="1" max="1" width="7.75" style="103" customWidth="1"/>
    <col min="2" max="2" width="43.875" style="103" customWidth="1"/>
    <col min="3" max="4" width="15.25" style="103" bestFit="1" customWidth="1"/>
    <col min="5" max="5" width="14.375" style="103" bestFit="1" customWidth="1"/>
    <col min="6" max="6" width="14.5" style="103" customWidth="1"/>
    <col min="7" max="8" width="15.25" style="103" bestFit="1" customWidth="1"/>
    <col min="9" max="9" width="16.625" style="103" bestFit="1" customWidth="1"/>
    <col min="10" max="10" width="18" style="180" bestFit="1" customWidth="1"/>
    <col min="11" max="11" width="4" style="103" bestFit="1" customWidth="1"/>
    <col min="12" max="12" width="7.25" style="103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635</v>
      </c>
      <c r="F3" s="102" t="s">
        <v>112</v>
      </c>
    </row>
    <row r="4" spans="1:10">
      <c r="C4" s="184" t="s">
        <v>272</v>
      </c>
      <c r="D4" s="184" t="s">
        <v>273</v>
      </c>
      <c r="E4" s="184" t="s">
        <v>272</v>
      </c>
      <c r="F4" s="184" t="s">
        <v>273</v>
      </c>
      <c r="G4" s="184" t="s">
        <v>272</v>
      </c>
      <c r="H4" s="184" t="s">
        <v>273</v>
      </c>
    </row>
    <row r="5" spans="1:10">
      <c r="A5" s="102" t="s">
        <v>118</v>
      </c>
      <c r="B5" s="102" t="s">
        <v>119</v>
      </c>
      <c r="C5" s="186">
        <v>4468000</v>
      </c>
      <c r="D5" s="186">
        <v>0</v>
      </c>
      <c r="E5" s="186">
        <v>16629470</v>
      </c>
      <c r="F5" s="186">
        <v>11097470</v>
      </c>
      <c r="G5" s="186">
        <v>10000000</v>
      </c>
      <c r="H5" s="186">
        <v>0</v>
      </c>
      <c r="I5" s="113">
        <f>+G5-C5</f>
        <v>5532000</v>
      </c>
      <c r="J5" s="180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204">
        <f t="shared" ref="I6:I69" si="0">+G6-C6</f>
        <v>0</v>
      </c>
      <c r="J6" s="180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204">
        <f t="shared" si="0"/>
        <v>0</v>
      </c>
      <c r="J7" s="180">
        <f t="shared" si="1"/>
        <v>0</v>
      </c>
    </row>
    <row r="8" spans="1:10">
      <c r="A8" s="102" t="s">
        <v>135</v>
      </c>
      <c r="B8" s="102" t="s">
        <v>136</v>
      </c>
      <c r="C8" s="186">
        <v>1788525.38</v>
      </c>
      <c r="D8" s="186">
        <v>0</v>
      </c>
      <c r="E8" s="186">
        <v>137570030.37</v>
      </c>
      <c r="F8" s="186">
        <v>137083.21</v>
      </c>
      <c r="G8" s="186">
        <v>139221472.53999999</v>
      </c>
      <c r="H8" s="186">
        <v>0</v>
      </c>
      <c r="I8" s="204">
        <f t="shared" si="0"/>
        <v>137432947.16</v>
      </c>
      <c r="J8" s="180">
        <f t="shared" si="1"/>
        <v>0</v>
      </c>
    </row>
    <row r="9" spans="1:10">
      <c r="A9" s="102" t="s">
        <v>143</v>
      </c>
      <c r="B9" s="102" t="s">
        <v>144</v>
      </c>
      <c r="C9" s="186">
        <v>1594317.12</v>
      </c>
      <c r="D9" s="186">
        <v>0</v>
      </c>
      <c r="E9" s="186">
        <v>0</v>
      </c>
      <c r="F9" s="186">
        <v>9604.32</v>
      </c>
      <c r="G9" s="186">
        <v>1584712.8</v>
      </c>
      <c r="H9" s="186">
        <v>0</v>
      </c>
      <c r="I9" s="204">
        <f t="shared" si="0"/>
        <v>-9604.3200000000652</v>
      </c>
      <c r="J9" s="180">
        <f t="shared" si="1"/>
        <v>0</v>
      </c>
    </row>
    <row r="10" spans="1:10">
      <c r="A10" s="102" t="s">
        <v>131</v>
      </c>
      <c r="B10" s="102" t="s">
        <v>132</v>
      </c>
      <c r="C10" s="186">
        <v>294629790</v>
      </c>
      <c r="D10" s="186">
        <v>0</v>
      </c>
      <c r="E10" s="186">
        <v>2491046499</v>
      </c>
      <c r="F10" s="186">
        <v>2562293702</v>
      </c>
      <c r="G10" s="186">
        <v>223382587</v>
      </c>
      <c r="H10" s="186">
        <v>0</v>
      </c>
      <c r="I10" s="204">
        <f t="shared" si="0"/>
        <v>-71247203</v>
      </c>
      <c r="J10" s="180">
        <f t="shared" si="1"/>
        <v>0</v>
      </c>
    </row>
    <row r="11" spans="1:10">
      <c r="A11" s="102" t="s">
        <v>121</v>
      </c>
      <c r="B11" s="102" t="s">
        <v>122</v>
      </c>
      <c r="C11" s="186">
        <v>55650947823</v>
      </c>
      <c r="D11" s="186">
        <v>0</v>
      </c>
      <c r="E11" s="186">
        <v>8187959711</v>
      </c>
      <c r="F11" s="186">
        <v>20285288714</v>
      </c>
      <c r="G11" s="186">
        <v>43553618820</v>
      </c>
      <c r="H11" s="186">
        <v>0</v>
      </c>
      <c r="I11" s="204">
        <f t="shared" si="0"/>
        <v>-12097329003</v>
      </c>
      <c r="J11" s="180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204">
        <f t="shared" si="0"/>
        <v>0</v>
      </c>
      <c r="J12" s="180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204">
        <f t="shared" si="0"/>
        <v>0</v>
      </c>
      <c r="J13" s="180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204">
        <f t="shared" si="0"/>
        <v>0</v>
      </c>
      <c r="J14" s="180">
        <f t="shared" si="1"/>
        <v>0</v>
      </c>
    </row>
    <row r="15" spans="1:10">
      <c r="A15" s="102" t="s">
        <v>278</v>
      </c>
      <c r="B15" s="102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204">
        <f t="shared" si="0"/>
        <v>0</v>
      </c>
      <c r="J15" s="180">
        <f t="shared" si="1"/>
        <v>0</v>
      </c>
    </row>
    <row r="16" spans="1:10">
      <c r="A16" s="102" t="s">
        <v>145</v>
      </c>
      <c r="B16" s="102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204">
        <f t="shared" si="0"/>
        <v>0</v>
      </c>
      <c r="J16" s="180">
        <f t="shared" si="1"/>
        <v>0</v>
      </c>
    </row>
    <row r="17" spans="1:10">
      <c r="A17" s="102" t="s">
        <v>149</v>
      </c>
      <c r="B17" s="102" t="s">
        <v>150</v>
      </c>
      <c r="C17" s="186">
        <v>9249349530.220005</v>
      </c>
      <c r="D17" s="186">
        <v>0</v>
      </c>
      <c r="E17" s="186">
        <v>221814447</v>
      </c>
      <c r="F17" s="186">
        <v>542665247.85000002</v>
      </c>
      <c r="G17" s="186">
        <v>8928498729.3700047</v>
      </c>
      <c r="H17" s="186">
        <v>0</v>
      </c>
      <c r="I17" s="204">
        <f t="shared" si="0"/>
        <v>-320850800.85000038</v>
      </c>
      <c r="J17" s="180">
        <f t="shared" si="1"/>
        <v>0</v>
      </c>
    </row>
    <row r="18" spans="1:10">
      <c r="A18" s="102" t="s">
        <v>139</v>
      </c>
      <c r="B18" s="102" t="s">
        <v>140</v>
      </c>
      <c r="C18" s="186">
        <v>30012667.199999999</v>
      </c>
      <c r="D18" s="186">
        <v>0</v>
      </c>
      <c r="E18" s="186">
        <v>198525000</v>
      </c>
      <c r="F18" s="186">
        <v>26530939.199999999</v>
      </c>
      <c r="G18" s="186">
        <v>202006728</v>
      </c>
      <c r="H18" s="186">
        <v>0</v>
      </c>
      <c r="I18" s="204">
        <f t="shared" si="0"/>
        <v>171994060.80000001</v>
      </c>
      <c r="J18" s="180">
        <f t="shared" si="1"/>
        <v>0</v>
      </c>
    </row>
    <row r="19" spans="1:10">
      <c r="A19" s="102" t="s">
        <v>137</v>
      </c>
      <c r="B19" s="102" t="s">
        <v>138</v>
      </c>
      <c r="C19" s="186">
        <v>3469166998</v>
      </c>
      <c r="D19" s="186">
        <v>0</v>
      </c>
      <c r="E19" s="186">
        <v>169863014</v>
      </c>
      <c r="F19" s="186">
        <v>0</v>
      </c>
      <c r="G19" s="186">
        <v>3639030012</v>
      </c>
      <c r="H19" s="186">
        <v>0</v>
      </c>
      <c r="I19" s="204">
        <f t="shared" si="0"/>
        <v>169863014</v>
      </c>
      <c r="J19" s="180">
        <f t="shared" si="1"/>
        <v>0</v>
      </c>
    </row>
    <row r="20" spans="1:10">
      <c r="A20" s="102" t="s">
        <v>151</v>
      </c>
      <c r="B20" s="102" t="s">
        <v>152</v>
      </c>
      <c r="C20" s="186">
        <v>834498509.7700119</v>
      </c>
      <c r="D20" s="186">
        <v>0</v>
      </c>
      <c r="E20" s="186">
        <v>286316375.12</v>
      </c>
      <c r="F20" s="186">
        <v>0</v>
      </c>
      <c r="G20" s="186">
        <v>1120814884.8900118</v>
      </c>
      <c r="H20" s="186">
        <v>0</v>
      </c>
      <c r="I20" s="204">
        <f t="shared" si="0"/>
        <v>286316375.11999989</v>
      </c>
      <c r="J20" s="180">
        <f t="shared" si="1"/>
        <v>0</v>
      </c>
    </row>
    <row r="21" spans="1:10">
      <c r="A21" s="102" t="s">
        <v>147</v>
      </c>
      <c r="B21" s="102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204">
        <f t="shared" si="0"/>
        <v>0</v>
      </c>
      <c r="J21" s="180">
        <f t="shared" si="1"/>
        <v>0</v>
      </c>
    </row>
    <row r="22" spans="1:10">
      <c r="A22" s="102" t="s">
        <v>125</v>
      </c>
      <c r="B22" s="102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204">
        <f t="shared" si="0"/>
        <v>0</v>
      </c>
      <c r="J22" s="180">
        <f t="shared" si="1"/>
        <v>0</v>
      </c>
    </row>
    <row r="23" spans="1:10">
      <c r="A23" s="102" t="s">
        <v>129</v>
      </c>
      <c r="B23" s="102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204">
        <f t="shared" si="0"/>
        <v>0</v>
      </c>
      <c r="J23" s="180">
        <f t="shared" si="1"/>
        <v>0</v>
      </c>
    </row>
    <row r="24" spans="1:10">
      <c r="A24" s="102" t="s">
        <v>133</v>
      </c>
      <c r="B24" s="102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204">
        <f t="shared" si="0"/>
        <v>0</v>
      </c>
      <c r="J24" s="180">
        <f t="shared" si="1"/>
        <v>0</v>
      </c>
    </row>
    <row r="25" spans="1:10">
      <c r="A25" s="102" t="s">
        <v>201</v>
      </c>
      <c r="B25" s="102" t="s">
        <v>202</v>
      </c>
      <c r="C25" s="186">
        <v>661706621.27000046</v>
      </c>
      <c r="D25" s="186">
        <v>0</v>
      </c>
      <c r="E25" s="186">
        <v>661706621.26999998</v>
      </c>
      <c r="F25" s="186">
        <v>661706621.26999998</v>
      </c>
      <c r="G25" s="186">
        <v>661706621.27000046</v>
      </c>
      <c r="H25" s="186">
        <v>0</v>
      </c>
      <c r="I25" s="205">
        <f>+G25-C25</f>
        <v>0</v>
      </c>
      <c r="J25" s="180">
        <f t="shared" si="1"/>
        <v>0</v>
      </c>
    </row>
    <row r="26" spans="1:10">
      <c r="A26" s="229" t="s">
        <v>217</v>
      </c>
      <c r="B26" s="229" t="s">
        <v>218</v>
      </c>
      <c r="C26" s="186">
        <v>155455781</v>
      </c>
      <c r="D26" s="186">
        <v>0</v>
      </c>
      <c r="E26" s="186">
        <v>1255970</v>
      </c>
      <c r="F26" s="186">
        <v>0</v>
      </c>
      <c r="G26" s="186">
        <v>156711751</v>
      </c>
      <c r="H26" s="186">
        <v>0</v>
      </c>
      <c r="I26" s="203">
        <f t="shared" si="0"/>
        <v>1255970</v>
      </c>
      <c r="J26" s="180">
        <f t="shared" si="1"/>
        <v>0</v>
      </c>
    </row>
    <row r="27" spans="1:10">
      <c r="A27" s="229" t="s">
        <v>215</v>
      </c>
      <c r="B27" s="229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03">
        <f t="shared" si="0"/>
        <v>0</v>
      </c>
      <c r="J27" s="180">
        <f t="shared" si="1"/>
        <v>0</v>
      </c>
    </row>
    <row r="28" spans="1:10">
      <c r="A28" s="102" t="s">
        <v>159</v>
      </c>
      <c r="B28" s="102" t="s">
        <v>160</v>
      </c>
      <c r="C28" s="186">
        <v>58820889</v>
      </c>
      <c r="D28" s="186">
        <v>0</v>
      </c>
      <c r="E28" s="186">
        <v>288977472</v>
      </c>
      <c r="F28" s="186">
        <v>345374190</v>
      </c>
      <c r="G28" s="186">
        <v>2424171</v>
      </c>
      <c r="H28" s="186">
        <v>0</v>
      </c>
      <c r="I28" s="113">
        <f t="shared" si="0"/>
        <v>-56396718</v>
      </c>
      <c r="J28" s="180">
        <f t="shared" si="1"/>
        <v>0</v>
      </c>
    </row>
    <row r="29" spans="1:10">
      <c r="A29" s="102" t="s">
        <v>162</v>
      </c>
      <c r="B29" s="102" t="s">
        <v>163</v>
      </c>
      <c r="C29" s="186">
        <v>0</v>
      </c>
      <c r="D29" s="186">
        <v>0</v>
      </c>
      <c r="E29" s="186">
        <v>2284839501</v>
      </c>
      <c r="F29" s="186">
        <v>2145672309</v>
      </c>
      <c r="G29" s="186">
        <v>139167192</v>
      </c>
      <c r="H29" s="186">
        <v>0</v>
      </c>
      <c r="I29" s="113">
        <f t="shared" si="0"/>
        <v>139167192</v>
      </c>
      <c r="J29" s="180">
        <f t="shared" si="1"/>
        <v>0</v>
      </c>
    </row>
    <row r="30" spans="1:10">
      <c r="A30" s="102" t="s">
        <v>203</v>
      </c>
      <c r="B30" s="102" t="s">
        <v>204</v>
      </c>
      <c r="C30" s="186">
        <v>535859520</v>
      </c>
      <c r="D30" s="186">
        <v>0</v>
      </c>
      <c r="E30" s="186">
        <v>2461373.0099999998</v>
      </c>
      <c r="F30" s="186">
        <v>336281929.56999999</v>
      </c>
      <c r="G30" s="186">
        <v>202038963.44</v>
      </c>
      <c r="H30" s="186">
        <v>0</v>
      </c>
      <c r="I30" s="205">
        <f t="shared" si="0"/>
        <v>-333820556.56</v>
      </c>
      <c r="J30" s="180">
        <f t="shared" si="1"/>
        <v>0</v>
      </c>
    </row>
    <row r="31" spans="1:10">
      <c r="A31" s="102" t="s">
        <v>154</v>
      </c>
      <c r="B31" s="102" t="s">
        <v>155</v>
      </c>
      <c r="C31" s="186">
        <v>474219940.07999992</v>
      </c>
      <c r="D31" s="186">
        <v>0</v>
      </c>
      <c r="E31" s="186">
        <v>87811069.129999995</v>
      </c>
      <c r="F31" s="186">
        <v>0</v>
      </c>
      <c r="G31" s="186">
        <v>562031009.20999992</v>
      </c>
      <c r="H31" s="186">
        <v>0</v>
      </c>
      <c r="I31" s="113">
        <f t="shared" si="0"/>
        <v>87811069.129999995</v>
      </c>
      <c r="J31" s="180">
        <f t="shared" si="1"/>
        <v>0</v>
      </c>
    </row>
    <row r="32" spans="1:10">
      <c r="A32" s="102" t="s">
        <v>156</v>
      </c>
      <c r="B32" s="102" t="s">
        <v>157</v>
      </c>
      <c r="C32" s="186">
        <v>40700259.929999948</v>
      </c>
      <c r="D32" s="186">
        <v>0</v>
      </c>
      <c r="E32" s="186">
        <v>107914590.79000001</v>
      </c>
      <c r="F32" s="186">
        <v>40700259.93</v>
      </c>
      <c r="G32" s="186">
        <v>107914590.78999995</v>
      </c>
      <c r="H32" s="186">
        <v>0</v>
      </c>
      <c r="I32" s="113">
        <f t="shared" si="0"/>
        <v>67214330.859999999</v>
      </c>
      <c r="J32" s="180">
        <f t="shared" si="1"/>
        <v>0</v>
      </c>
    </row>
    <row r="33" spans="1:10">
      <c r="A33" s="229" t="s">
        <v>165</v>
      </c>
      <c r="B33" s="229" t="s">
        <v>166</v>
      </c>
      <c r="C33" s="186">
        <v>5968583</v>
      </c>
      <c r="D33" s="186">
        <v>0</v>
      </c>
      <c r="E33" s="186">
        <v>11249291</v>
      </c>
      <c r="F33" s="186">
        <v>0</v>
      </c>
      <c r="G33" s="186">
        <v>17217874</v>
      </c>
      <c r="H33" s="186">
        <v>0</v>
      </c>
      <c r="I33" s="203">
        <f t="shared" si="0"/>
        <v>11249291</v>
      </c>
      <c r="J33" s="180">
        <f t="shared" si="1"/>
        <v>0</v>
      </c>
    </row>
    <row r="34" spans="1:10">
      <c r="A34" s="229" t="s">
        <v>171</v>
      </c>
      <c r="B34" s="229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203">
        <f t="shared" si="0"/>
        <v>0</v>
      </c>
      <c r="J34" s="180">
        <f t="shared" si="1"/>
        <v>0</v>
      </c>
    </row>
    <row r="35" spans="1:10">
      <c r="A35" s="229" t="s">
        <v>167</v>
      </c>
      <c r="B35" s="229" t="s">
        <v>168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03">
        <f t="shared" si="0"/>
        <v>0</v>
      </c>
      <c r="J35" s="180">
        <f t="shared" si="1"/>
        <v>0</v>
      </c>
    </row>
    <row r="36" spans="1:10">
      <c r="A36" s="229" t="s">
        <v>169</v>
      </c>
      <c r="B36" s="229" t="s">
        <v>170</v>
      </c>
      <c r="C36" s="186">
        <v>500000</v>
      </c>
      <c r="D36" s="186">
        <v>0</v>
      </c>
      <c r="E36" s="186">
        <v>20650000</v>
      </c>
      <c r="F36" s="186">
        <v>21150000</v>
      </c>
      <c r="G36" s="186">
        <v>0</v>
      </c>
      <c r="H36" s="186">
        <v>0</v>
      </c>
      <c r="I36" s="203">
        <f t="shared" si="0"/>
        <v>-500000</v>
      </c>
      <c r="J36" s="180">
        <f t="shared" si="1"/>
        <v>0</v>
      </c>
    </row>
    <row r="37" spans="1:10">
      <c r="A37" s="229" t="s">
        <v>210</v>
      </c>
      <c r="B37" s="229" t="s">
        <v>211</v>
      </c>
      <c r="C37" s="186">
        <v>440769055.4600001</v>
      </c>
      <c r="D37" s="186">
        <v>0</v>
      </c>
      <c r="E37" s="186">
        <v>0</v>
      </c>
      <c r="F37" s="186">
        <v>52755591.099999994</v>
      </c>
      <c r="G37" s="186">
        <v>388013464.36000007</v>
      </c>
      <c r="H37" s="186">
        <v>0</v>
      </c>
      <c r="I37" s="203">
        <f t="shared" si="0"/>
        <v>-52755591.100000024</v>
      </c>
      <c r="J37" s="180">
        <f t="shared" si="1"/>
        <v>0</v>
      </c>
    </row>
    <row r="38" spans="1:10">
      <c r="A38" s="229" t="s">
        <v>208</v>
      </c>
      <c r="B38" s="229" t="s">
        <v>209</v>
      </c>
      <c r="C38" s="186">
        <v>120296054.95999999</v>
      </c>
      <c r="D38" s="186">
        <v>0</v>
      </c>
      <c r="E38" s="186">
        <v>21767146.350000001</v>
      </c>
      <c r="F38" s="186">
        <v>12146968.34</v>
      </c>
      <c r="G38" s="186">
        <v>129916232.97</v>
      </c>
      <c r="H38" s="186">
        <v>0</v>
      </c>
      <c r="I38" s="203">
        <f t="shared" si="0"/>
        <v>9620178.0100000054</v>
      </c>
      <c r="J38" s="180">
        <f t="shared" si="1"/>
        <v>0</v>
      </c>
    </row>
    <row r="39" spans="1:10">
      <c r="A39" s="229" t="s">
        <v>206</v>
      </c>
      <c r="B39" s="229" t="s">
        <v>207</v>
      </c>
      <c r="C39" s="186">
        <v>216393.44999998808</v>
      </c>
      <c r="D39" s="186">
        <v>0</v>
      </c>
      <c r="E39" s="186">
        <v>5280000</v>
      </c>
      <c r="F39" s="186">
        <v>448481.35</v>
      </c>
      <c r="G39" s="186">
        <v>5047912.0999999885</v>
      </c>
      <c r="H39" s="186">
        <v>0</v>
      </c>
      <c r="I39" s="203">
        <f t="shared" si="0"/>
        <v>4831518.6500000004</v>
      </c>
      <c r="J39" s="180">
        <f t="shared" si="1"/>
        <v>0</v>
      </c>
    </row>
    <row r="40" spans="1:10">
      <c r="A40" s="229" t="s">
        <v>212</v>
      </c>
      <c r="B40" s="229" t="s">
        <v>213</v>
      </c>
      <c r="C40" s="186">
        <v>5709708.2300000004</v>
      </c>
      <c r="D40" s="186">
        <v>0</v>
      </c>
      <c r="E40" s="186">
        <v>0</v>
      </c>
      <c r="F40" s="186">
        <v>846894.52</v>
      </c>
      <c r="G40" s="186">
        <v>4862813.71</v>
      </c>
      <c r="H40" s="186">
        <v>0</v>
      </c>
      <c r="I40" s="203">
        <f t="shared" si="0"/>
        <v>-846894.52000000048</v>
      </c>
      <c r="J40" s="180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0</v>
      </c>
      <c r="G41" s="186">
        <v>307778050.00999999</v>
      </c>
      <c r="H41" s="186">
        <v>0</v>
      </c>
      <c r="I41" s="113">
        <f t="shared" si="0"/>
        <v>0</v>
      </c>
      <c r="J41" s="180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113">
        <f t="shared" si="0"/>
        <v>0</v>
      </c>
      <c r="J42" s="180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0</v>
      </c>
      <c r="F43" s="186">
        <v>0</v>
      </c>
      <c r="G43" s="186">
        <v>1547672051.8699999</v>
      </c>
      <c r="H43" s="186">
        <v>0</v>
      </c>
      <c r="I43" s="113">
        <f t="shared" si="0"/>
        <v>0</v>
      </c>
      <c r="J43" s="180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0</v>
      </c>
      <c r="F44" s="186">
        <v>0</v>
      </c>
      <c r="G44" s="186">
        <v>649742024.07000005</v>
      </c>
      <c r="H44" s="186">
        <v>0</v>
      </c>
      <c r="I44" s="113">
        <f t="shared" si="0"/>
        <v>0</v>
      </c>
      <c r="J44" s="180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113">
        <f t="shared" si="0"/>
        <v>0</v>
      </c>
      <c r="J45" s="180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113">
        <f t="shared" si="0"/>
        <v>0</v>
      </c>
      <c r="J46" s="180">
        <f t="shared" si="1"/>
        <v>0</v>
      </c>
    </row>
    <row r="47" spans="1:10">
      <c r="A47" s="220" t="s">
        <v>198</v>
      </c>
      <c r="B47" s="220" t="s">
        <v>199</v>
      </c>
      <c r="C47" s="186">
        <v>0</v>
      </c>
      <c r="D47" s="186">
        <v>58670584.840000004</v>
      </c>
      <c r="E47" s="186">
        <v>0</v>
      </c>
      <c r="F47" s="186">
        <v>5878716.75</v>
      </c>
      <c r="G47" s="186">
        <v>0</v>
      </c>
      <c r="H47" s="186">
        <v>64549301.590000004</v>
      </c>
      <c r="I47" s="113">
        <f t="shared" si="0"/>
        <v>0</v>
      </c>
      <c r="J47" s="219">
        <f t="shared" si="1"/>
        <v>5878716.75</v>
      </c>
    </row>
    <row r="48" spans="1:10">
      <c r="A48" s="220" t="s">
        <v>196</v>
      </c>
      <c r="B48" s="220" t="s">
        <v>197</v>
      </c>
      <c r="C48" s="186">
        <v>0</v>
      </c>
      <c r="D48" s="186">
        <v>244209315.18000004</v>
      </c>
      <c r="E48" s="186">
        <v>0</v>
      </c>
      <c r="F48" s="186">
        <v>10674717.02</v>
      </c>
      <c r="G48" s="186">
        <v>0</v>
      </c>
      <c r="H48" s="186">
        <v>254884032.20000005</v>
      </c>
      <c r="I48" s="113">
        <f t="shared" si="0"/>
        <v>0</v>
      </c>
      <c r="J48" s="219">
        <f t="shared" si="1"/>
        <v>10674717.020000011</v>
      </c>
    </row>
    <row r="49" spans="1:10">
      <c r="A49" s="220" t="s">
        <v>190</v>
      </c>
      <c r="B49" s="220" t="s">
        <v>191</v>
      </c>
      <c r="C49" s="186">
        <v>0</v>
      </c>
      <c r="D49" s="186">
        <v>306448141.20999998</v>
      </c>
      <c r="E49" s="186">
        <v>0</v>
      </c>
      <c r="F49" s="186">
        <v>13133827.369999999</v>
      </c>
      <c r="G49" s="186">
        <v>0</v>
      </c>
      <c r="H49" s="186">
        <v>319581968.57999998</v>
      </c>
      <c r="I49" s="113">
        <f t="shared" si="0"/>
        <v>0</v>
      </c>
      <c r="J49" s="219">
        <f t="shared" si="1"/>
        <v>13133827.370000005</v>
      </c>
    </row>
    <row r="50" spans="1:10">
      <c r="A50" s="220" t="s">
        <v>188</v>
      </c>
      <c r="B50" s="220" t="s">
        <v>189</v>
      </c>
      <c r="C50" s="186">
        <v>0</v>
      </c>
      <c r="D50" s="186">
        <v>112752822.11999997</v>
      </c>
      <c r="E50" s="186">
        <v>0</v>
      </c>
      <c r="F50" s="186">
        <v>5513921.7699999996</v>
      </c>
      <c r="G50" s="186">
        <v>0</v>
      </c>
      <c r="H50" s="186">
        <v>118266743.88999999</v>
      </c>
      <c r="I50" s="113">
        <f t="shared" si="0"/>
        <v>0</v>
      </c>
      <c r="J50" s="219">
        <f t="shared" si="1"/>
        <v>5513921.7700000107</v>
      </c>
    </row>
    <row r="51" spans="1:10">
      <c r="A51" s="220" t="s">
        <v>194</v>
      </c>
      <c r="B51" s="220" t="s">
        <v>195</v>
      </c>
      <c r="C51" s="186">
        <v>0</v>
      </c>
      <c r="D51" s="186">
        <v>20246504.130000003</v>
      </c>
      <c r="E51" s="186">
        <v>0</v>
      </c>
      <c r="F51" s="186">
        <v>1161032.02</v>
      </c>
      <c r="G51" s="186">
        <v>0</v>
      </c>
      <c r="H51" s="186">
        <v>21407536.150000002</v>
      </c>
      <c r="I51" s="113">
        <f t="shared" si="0"/>
        <v>0</v>
      </c>
      <c r="J51" s="219">
        <f t="shared" si="1"/>
        <v>1161032.0199999996</v>
      </c>
    </row>
    <row r="52" spans="1:10">
      <c r="A52" s="220" t="s">
        <v>192</v>
      </c>
      <c r="B52" s="220" t="s">
        <v>193</v>
      </c>
      <c r="C52" s="186">
        <v>0</v>
      </c>
      <c r="D52" s="186">
        <v>73403487.100000009</v>
      </c>
      <c r="E52" s="186">
        <v>0</v>
      </c>
      <c r="F52" s="186">
        <v>3234013.57</v>
      </c>
      <c r="G52" s="186">
        <v>0</v>
      </c>
      <c r="H52" s="186">
        <v>76637500.670000017</v>
      </c>
      <c r="I52" s="113">
        <f t="shared" si="0"/>
        <v>0</v>
      </c>
      <c r="J52" s="219">
        <f t="shared" si="1"/>
        <v>3234013.5700000077</v>
      </c>
    </row>
    <row r="53" spans="1:10">
      <c r="A53" s="102" t="s">
        <v>227</v>
      </c>
      <c r="B53" s="102" t="s">
        <v>228</v>
      </c>
      <c r="C53" s="186">
        <v>0</v>
      </c>
      <c r="D53" s="186">
        <v>57237576</v>
      </c>
      <c r="E53" s="186">
        <v>333675857</v>
      </c>
      <c r="F53" s="186">
        <v>277269345</v>
      </c>
      <c r="G53" s="186">
        <v>0</v>
      </c>
      <c r="H53" s="186">
        <v>831064</v>
      </c>
      <c r="I53" s="113">
        <f t="shared" si="0"/>
        <v>0</v>
      </c>
      <c r="J53" s="207">
        <f t="shared" si="1"/>
        <v>-56406512</v>
      </c>
    </row>
    <row r="54" spans="1:10">
      <c r="A54" s="102" t="s">
        <v>222</v>
      </c>
      <c r="B54" s="102" t="s">
        <v>223</v>
      </c>
      <c r="C54" s="186">
        <v>0</v>
      </c>
      <c r="D54" s="186">
        <v>0</v>
      </c>
      <c r="E54" s="186">
        <v>2203423197</v>
      </c>
      <c r="F54" s="186">
        <v>2341958865</v>
      </c>
      <c r="G54" s="186">
        <v>0</v>
      </c>
      <c r="H54" s="186">
        <v>138535668</v>
      </c>
      <c r="I54" s="113">
        <f t="shared" si="0"/>
        <v>0</v>
      </c>
      <c r="J54" s="206">
        <f t="shared" si="1"/>
        <v>138535668</v>
      </c>
    </row>
    <row r="55" spans="1:10">
      <c r="A55" s="102" t="s">
        <v>224</v>
      </c>
      <c r="B55" s="102" t="s">
        <v>225</v>
      </c>
      <c r="C55" s="186">
        <v>0</v>
      </c>
      <c r="D55" s="186">
        <v>55650947823</v>
      </c>
      <c r="E55" s="186">
        <v>20285288714</v>
      </c>
      <c r="F55" s="186">
        <v>8187959711</v>
      </c>
      <c r="G55" s="186">
        <v>0</v>
      </c>
      <c r="H55" s="186">
        <v>43553618820</v>
      </c>
      <c r="I55" s="113">
        <f t="shared" si="0"/>
        <v>0</v>
      </c>
      <c r="J55" s="206">
        <f t="shared" si="1"/>
        <v>-12097329003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113">
        <f t="shared" si="0"/>
        <v>0</v>
      </c>
      <c r="J56" s="206">
        <f t="shared" si="1"/>
        <v>0</v>
      </c>
    </row>
    <row r="57" spans="1:10">
      <c r="A57" s="102" t="s">
        <v>220</v>
      </c>
      <c r="B57" s="102" t="s">
        <v>221</v>
      </c>
      <c r="C57" s="186">
        <v>0</v>
      </c>
      <c r="D57" s="186">
        <v>25194647.999986574</v>
      </c>
      <c r="E57" s="186">
        <v>25194648</v>
      </c>
      <c r="F57" s="186">
        <v>0</v>
      </c>
      <c r="G57" s="186">
        <v>1.3427734375E-5</v>
      </c>
      <c r="H57" s="186">
        <v>0</v>
      </c>
      <c r="I57" s="113">
        <f t="shared" si="0"/>
        <v>1.3427734375E-5</v>
      </c>
      <c r="J57" s="206">
        <f t="shared" si="1"/>
        <v>-25194647.999986574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0</v>
      </c>
      <c r="F58" s="186">
        <v>0</v>
      </c>
      <c r="G58" s="186">
        <v>0</v>
      </c>
      <c r="H58" s="186">
        <v>1455561594.02</v>
      </c>
      <c r="I58" s="113">
        <f t="shared" si="0"/>
        <v>0</v>
      </c>
      <c r="J58" s="180">
        <f>+H58-D58</f>
        <v>0</v>
      </c>
    </row>
    <row r="59" spans="1:10">
      <c r="A59" s="209" t="s">
        <v>233</v>
      </c>
      <c r="B59" s="209" t="s">
        <v>292</v>
      </c>
      <c r="C59" s="186">
        <v>9.5367431640625E-7</v>
      </c>
      <c r="D59" s="186">
        <v>0</v>
      </c>
      <c r="E59" s="186">
        <v>0</v>
      </c>
      <c r="F59" s="186">
        <v>0</v>
      </c>
      <c r="G59" s="186">
        <v>9.5367431640625E-7</v>
      </c>
      <c r="H59" s="210">
        <v>0</v>
      </c>
      <c r="I59" s="113">
        <f t="shared" si="0"/>
        <v>0</v>
      </c>
      <c r="J59" s="211">
        <f t="shared" si="1"/>
        <v>0</v>
      </c>
    </row>
    <row r="60" spans="1:10">
      <c r="A60" s="209" t="s">
        <v>235</v>
      </c>
      <c r="B60" s="209" t="s">
        <v>236</v>
      </c>
      <c r="C60" s="186">
        <v>0</v>
      </c>
      <c r="D60" s="186">
        <v>139738471.31999999</v>
      </c>
      <c r="E60" s="186">
        <v>139738471.31999999</v>
      </c>
      <c r="F60" s="186">
        <v>0</v>
      </c>
      <c r="G60" s="186">
        <v>0</v>
      </c>
      <c r="H60" s="210">
        <v>0</v>
      </c>
      <c r="I60" s="113">
        <f t="shared" si="0"/>
        <v>0</v>
      </c>
      <c r="J60" s="211">
        <f t="shared" si="1"/>
        <v>-139738471.31999999</v>
      </c>
    </row>
    <row r="61" spans="1:10">
      <c r="A61" s="209" t="s">
        <v>237</v>
      </c>
      <c r="B61" s="209" t="s">
        <v>238</v>
      </c>
      <c r="C61" s="186">
        <v>0</v>
      </c>
      <c r="D61" s="186">
        <v>31417799.889999986</v>
      </c>
      <c r="E61" s="186">
        <v>31417801</v>
      </c>
      <c r="F61" s="186">
        <v>25923365</v>
      </c>
      <c r="G61" s="186">
        <v>0</v>
      </c>
      <c r="H61" s="210">
        <v>25923363.889999982</v>
      </c>
      <c r="I61" s="113">
        <f t="shared" si="0"/>
        <v>0</v>
      </c>
      <c r="J61" s="211">
        <f t="shared" si="1"/>
        <v>-5494436.0000000037</v>
      </c>
    </row>
    <row r="62" spans="1:10">
      <c r="A62" s="209" t="s">
        <v>250</v>
      </c>
      <c r="B62" s="209" t="s">
        <v>251</v>
      </c>
      <c r="C62" s="186">
        <v>0</v>
      </c>
      <c r="D62" s="186">
        <v>129098980.00000001</v>
      </c>
      <c r="E62" s="186">
        <v>40054880</v>
      </c>
      <c r="F62" s="186">
        <v>39017788</v>
      </c>
      <c r="G62" s="186">
        <v>0</v>
      </c>
      <c r="H62" s="210">
        <v>128061888.00000001</v>
      </c>
      <c r="I62" s="113">
        <f t="shared" si="0"/>
        <v>0</v>
      </c>
      <c r="J62" s="211">
        <f t="shared" si="1"/>
        <v>-1037092</v>
      </c>
    </row>
    <row r="63" spans="1:10">
      <c r="A63" s="209" t="s">
        <v>240</v>
      </c>
      <c r="B63" s="209" t="s">
        <v>241</v>
      </c>
      <c r="C63" s="186">
        <v>0</v>
      </c>
      <c r="D63" s="186">
        <v>21286512</v>
      </c>
      <c r="E63" s="186">
        <v>21358642.5</v>
      </c>
      <c r="F63" s="186">
        <v>21230410.5</v>
      </c>
      <c r="G63" s="186">
        <v>0</v>
      </c>
      <c r="H63" s="210">
        <v>21158280</v>
      </c>
      <c r="I63" s="113">
        <f t="shared" si="0"/>
        <v>0</v>
      </c>
      <c r="J63" s="211">
        <f t="shared" si="1"/>
        <v>-128232</v>
      </c>
    </row>
    <row r="64" spans="1:10">
      <c r="A64" s="209" t="s">
        <v>244</v>
      </c>
      <c r="B64" s="209" t="s">
        <v>245</v>
      </c>
      <c r="C64" s="186">
        <v>0</v>
      </c>
      <c r="D64" s="186">
        <v>2581632</v>
      </c>
      <c r="E64" s="186">
        <v>2590380</v>
      </c>
      <c r="F64" s="186">
        <v>2574828</v>
      </c>
      <c r="G64" s="186">
        <v>0</v>
      </c>
      <c r="H64" s="210">
        <v>2566080</v>
      </c>
      <c r="I64" s="113">
        <f t="shared" si="0"/>
        <v>0</v>
      </c>
      <c r="J64" s="211">
        <f t="shared" si="1"/>
        <v>-15552</v>
      </c>
    </row>
    <row r="65" spans="1:12">
      <c r="A65" s="209" t="s">
        <v>248</v>
      </c>
      <c r="B65" s="209" t="s">
        <v>249</v>
      </c>
      <c r="C65" s="186">
        <v>0</v>
      </c>
      <c r="D65" s="186">
        <v>375453039.99999994</v>
      </c>
      <c r="E65" s="186">
        <v>0</v>
      </c>
      <c r="F65" s="186">
        <v>54821600</v>
      </c>
      <c r="G65" s="186">
        <v>0</v>
      </c>
      <c r="H65" s="210">
        <v>430274639.99999994</v>
      </c>
      <c r="I65" s="113">
        <f t="shared" si="0"/>
        <v>0</v>
      </c>
      <c r="J65" s="211">
        <f t="shared" si="1"/>
        <v>54821600</v>
      </c>
    </row>
    <row r="66" spans="1:12">
      <c r="A66" s="209" t="s">
        <v>252</v>
      </c>
      <c r="B66" s="209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210">
        <v>0</v>
      </c>
      <c r="I66" s="113">
        <f t="shared" si="0"/>
        <v>0</v>
      </c>
      <c r="J66" s="211">
        <f t="shared" si="1"/>
        <v>0</v>
      </c>
    </row>
    <row r="67" spans="1:12">
      <c r="A67" s="209" t="s">
        <v>242</v>
      </c>
      <c r="B67" s="209" t="s">
        <v>243</v>
      </c>
      <c r="C67" s="186">
        <v>0</v>
      </c>
      <c r="D67" s="186">
        <v>7239040</v>
      </c>
      <c r="E67" s="186">
        <v>239040</v>
      </c>
      <c r="F67" s="186">
        <v>7237600</v>
      </c>
      <c r="G67" s="186">
        <v>0</v>
      </c>
      <c r="H67" s="210">
        <v>14237600</v>
      </c>
      <c r="I67" s="113">
        <f t="shared" si="0"/>
        <v>0</v>
      </c>
      <c r="J67" s="211">
        <f t="shared" si="1"/>
        <v>6998560</v>
      </c>
    </row>
    <row r="68" spans="1:12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113">
        <f t="shared" si="0"/>
        <v>0</v>
      </c>
      <c r="J68" s="180">
        <f t="shared" si="1"/>
        <v>0</v>
      </c>
    </row>
    <row r="69" spans="1:12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113">
        <f t="shared" si="0"/>
        <v>0</v>
      </c>
      <c r="J69" s="180">
        <f t="shared" si="1"/>
        <v>0</v>
      </c>
    </row>
    <row r="70" spans="1:12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0</v>
      </c>
      <c r="F70" s="186">
        <v>0</v>
      </c>
      <c r="G70" s="186">
        <v>0</v>
      </c>
      <c r="H70" s="186">
        <v>27040033.18</v>
      </c>
      <c r="I70" s="113">
        <f t="shared" ref="I70:I74" si="2">+G70-C70</f>
        <v>0</v>
      </c>
      <c r="J70" s="180">
        <f t="shared" ref="J70:J74" si="3">+H70-D70</f>
        <v>0</v>
      </c>
    </row>
    <row r="71" spans="1:12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113">
        <f t="shared" si="2"/>
        <v>0</v>
      </c>
      <c r="J71" s="180">
        <f t="shared" si="3"/>
        <v>0</v>
      </c>
    </row>
    <row r="72" spans="1:12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113">
        <f t="shared" si="2"/>
        <v>0</v>
      </c>
      <c r="J72" s="180">
        <f t="shared" si="3"/>
        <v>0</v>
      </c>
    </row>
    <row r="73" spans="1:12">
      <c r="A73" s="102" t="s">
        <v>263</v>
      </c>
      <c r="B73" s="102" t="s">
        <v>264</v>
      </c>
      <c r="C73" s="186">
        <v>0</v>
      </c>
      <c r="D73" s="186">
        <v>3764215550.0900002</v>
      </c>
      <c r="E73" s="186">
        <v>3764215550.0900002</v>
      </c>
      <c r="F73" s="186">
        <v>0</v>
      </c>
      <c r="G73" s="186">
        <v>0</v>
      </c>
      <c r="H73" s="186">
        <v>0</v>
      </c>
      <c r="I73" s="113">
        <f t="shared" si="2"/>
        <v>0</v>
      </c>
      <c r="J73" s="180">
        <f t="shared" si="3"/>
        <v>-3764215550.0900002</v>
      </c>
    </row>
    <row r="74" spans="1:12">
      <c r="A74" s="102" t="s">
        <v>627</v>
      </c>
      <c r="B74" s="102" t="s">
        <v>628</v>
      </c>
      <c r="C74" s="186">
        <v>0</v>
      </c>
      <c r="D74" s="186">
        <v>0</v>
      </c>
      <c r="E74" s="186">
        <v>0</v>
      </c>
      <c r="F74" s="186">
        <v>3764215550.0900002</v>
      </c>
      <c r="G74" s="186">
        <v>0</v>
      </c>
      <c r="H74" s="186">
        <v>3764215550.0900002</v>
      </c>
      <c r="I74" s="113">
        <f t="shared" si="2"/>
        <v>0</v>
      </c>
      <c r="J74" s="180">
        <f t="shared" si="3"/>
        <v>3764215550.0900002</v>
      </c>
    </row>
    <row r="75" spans="1:12">
      <c r="A75" s="102"/>
      <c r="B75" s="102" t="s">
        <v>638</v>
      </c>
      <c r="C75" s="186">
        <f>SUM(C5:C74)</f>
        <v>162985274009.54001</v>
      </c>
      <c r="D75" s="186">
        <f t="shared" ref="D75:H75" si="4">SUM(D5:D74)</f>
        <v>162985274009.53998</v>
      </c>
      <c r="E75" s="186">
        <f t="shared" si="4"/>
        <v>42050834761.949997</v>
      </c>
      <c r="F75" s="186">
        <f t="shared" si="4"/>
        <v>41806911296.75</v>
      </c>
      <c r="G75" s="186">
        <f t="shared" si="4"/>
        <v>151143805584.92001</v>
      </c>
      <c r="H75" s="186">
        <f t="shared" si="4"/>
        <v>150899882119.72</v>
      </c>
      <c r="I75" s="113">
        <f>SUM(I5:I74)</f>
        <v>-11841468424.619987</v>
      </c>
      <c r="J75" s="180">
        <f>SUM(J5:J74)</f>
        <v>-12085391889.819986</v>
      </c>
    </row>
    <row r="76" spans="1:12" s="188" customFormat="1">
      <c r="A76" s="176"/>
      <c r="B76" s="176" t="s">
        <v>632</v>
      </c>
      <c r="C76" s="177"/>
      <c r="D76" s="177">
        <f>+C75-D75</f>
        <v>0</v>
      </c>
      <c r="E76" s="177"/>
      <c r="F76" s="177">
        <f>+E75-F75</f>
        <v>243923465.19999695</v>
      </c>
      <c r="G76" s="177"/>
      <c r="H76" s="177">
        <f>+G75-H75</f>
        <v>243923465.20001221</v>
      </c>
      <c r="J76" s="191">
        <f>+I75-J75</f>
        <v>243923465.19999886</v>
      </c>
      <c r="L76" s="189">
        <f>+J76-H76</f>
        <v>-1.33514404296875E-5</v>
      </c>
    </row>
    <row r="77" spans="1:12">
      <c r="A77" s="102"/>
      <c r="B77" s="102"/>
      <c r="C77" s="186"/>
      <c r="D77" s="186"/>
      <c r="E77" s="186"/>
      <c r="F77" s="186"/>
      <c r="G77" s="186"/>
      <c r="H77" s="186"/>
    </row>
    <row r="78" spans="1:12">
      <c r="A78" s="102"/>
      <c r="B78" s="102"/>
      <c r="C78" s="186"/>
      <c r="D78" s="186"/>
      <c r="E78" s="186"/>
      <c r="F78" s="186"/>
      <c r="G78" s="186"/>
      <c r="H78" s="186"/>
    </row>
    <row r="79" spans="1:12">
      <c r="A79" s="102"/>
      <c r="B79" s="102"/>
      <c r="C79" s="184" t="s">
        <v>272</v>
      </c>
      <c r="D79" s="184" t="s">
        <v>273</v>
      </c>
      <c r="E79" s="184" t="s">
        <v>272</v>
      </c>
      <c r="F79" s="184" t="s">
        <v>273</v>
      </c>
      <c r="G79" s="184" t="s">
        <v>272</v>
      </c>
      <c r="H79" s="184" t="s">
        <v>273</v>
      </c>
      <c r="I79" s="184" t="s">
        <v>640</v>
      </c>
    </row>
    <row r="80" spans="1:12">
      <c r="A80" s="102" t="s">
        <v>297</v>
      </c>
      <c r="B80" s="102" t="s">
        <v>298</v>
      </c>
      <c r="C80" s="186">
        <v>0</v>
      </c>
      <c r="D80" s="186">
        <v>0</v>
      </c>
      <c r="E80" s="186">
        <v>21158280</v>
      </c>
      <c r="F80" s="186">
        <v>0</v>
      </c>
      <c r="G80" s="186">
        <v>21158280</v>
      </c>
      <c r="H80" s="186">
        <v>0</v>
      </c>
      <c r="I80" s="190">
        <f>+F80-E80</f>
        <v>-21158280</v>
      </c>
    </row>
    <row r="81" spans="1:9">
      <c r="A81" s="102" t="s">
        <v>299</v>
      </c>
      <c r="B81" s="102" t="s">
        <v>300</v>
      </c>
      <c r="C81" s="186">
        <v>0</v>
      </c>
      <c r="D81" s="186">
        <v>0</v>
      </c>
      <c r="E81" s="186">
        <v>2566080</v>
      </c>
      <c r="F81" s="186">
        <v>0</v>
      </c>
      <c r="G81" s="186">
        <v>2566080</v>
      </c>
      <c r="H81" s="186">
        <v>0</v>
      </c>
      <c r="I81" s="190">
        <f t="shared" ref="I81:I136" si="5">+F81-E81</f>
        <v>-2566080</v>
      </c>
    </row>
    <row r="82" spans="1:9">
      <c r="A82" s="102" t="s">
        <v>301</v>
      </c>
      <c r="B82" s="102" t="s">
        <v>302</v>
      </c>
      <c r="C82" s="186">
        <v>0</v>
      </c>
      <c r="D82" s="186">
        <v>0</v>
      </c>
      <c r="E82" s="186">
        <v>369951.21</v>
      </c>
      <c r="F82" s="186">
        <v>0</v>
      </c>
      <c r="G82" s="186">
        <v>369951.21</v>
      </c>
      <c r="H82" s="186">
        <v>0</v>
      </c>
      <c r="I82" s="190">
        <f t="shared" si="5"/>
        <v>-369951.21</v>
      </c>
    </row>
    <row r="83" spans="1:9">
      <c r="A83" s="102" t="s">
        <v>303</v>
      </c>
      <c r="B83" s="102" t="s">
        <v>304</v>
      </c>
      <c r="C83" s="186">
        <v>0</v>
      </c>
      <c r="D83" s="186">
        <v>0</v>
      </c>
      <c r="E83" s="186">
        <v>159159677</v>
      </c>
      <c r="F83" s="186">
        <v>0</v>
      </c>
      <c r="G83" s="186">
        <v>159159677</v>
      </c>
      <c r="H83" s="186">
        <v>0</v>
      </c>
      <c r="I83" s="190">
        <f t="shared" si="5"/>
        <v>-159159677</v>
      </c>
    </row>
    <row r="84" spans="1:9">
      <c r="A84" s="102" t="s">
        <v>307</v>
      </c>
      <c r="B84" s="102" t="s">
        <v>308</v>
      </c>
      <c r="C84" s="186">
        <v>0</v>
      </c>
      <c r="D84" s="186">
        <v>0</v>
      </c>
      <c r="E84" s="186">
        <v>47351378</v>
      </c>
      <c r="F84" s="186">
        <v>0</v>
      </c>
      <c r="G84" s="186">
        <v>47351378</v>
      </c>
      <c r="H84" s="186">
        <v>0</v>
      </c>
      <c r="I84" s="190">
        <f t="shared" si="5"/>
        <v>-47351378</v>
      </c>
    </row>
    <row r="85" spans="1:9">
      <c r="A85" s="102" t="s">
        <v>311</v>
      </c>
      <c r="B85" s="102" t="s">
        <v>312</v>
      </c>
      <c r="C85" s="186">
        <v>0</v>
      </c>
      <c r="D85" s="186">
        <v>0</v>
      </c>
      <c r="E85" s="186">
        <v>10198798.5</v>
      </c>
      <c r="F85" s="186">
        <v>0</v>
      </c>
      <c r="G85" s="186">
        <v>10198798.5</v>
      </c>
      <c r="H85" s="186">
        <v>0</v>
      </c>
      <c r="I85" s="190">
        <f t="shared" si="5"/>
        <v>-10198798.5</v>
      </c>
    </row>
    <row r="86" spans="1:9">
      <c r="A86" s="102" t="s">
        <v>315</v>
      </c>
      <c r="B86" s="102" t="s">
        <v>316</v>
      </c>
      <c r="C86" s="186">
        <v>0</v>
      </c>
      <c r="D86" s="186">
        <v>0</v>
      </c>
      <c r="E86" s="186">
        <v>17283871</v>
      </c>
      <c r="F86" s="186">
        <v>0</v>
      </c>
      <c r="G86" s="186">
        <v>17283871</v>
      </c>
      <c r="H86" s="186">
        <v>0</v>
      </c>
      <c r="I86" s="190">
        <f t="shared" si="5"/>
        <v>-17283871</v>
      </c>
    </row>
    <row r="87" spans="1:9">
      <c r="A87" s="102" t="s">
        <v>317</v>
      </c>
      <c r="B87" s="102" t="s">
        <v>318</v>
      </c>
      <c r="C87" s="186">
        <v>0</v>
      </c>
      <c r="D87" s="186">
        <v>0</v>
      </c>
      <c r="E87" s="186">
        <v>14000000</v>
      </c>
      <c r="F87" s="186">
        <v>0</v>
      </c>
      <c r="G87" s="186">
        <v>14000000</v>
      </c>
      <c r="H87" s="186">
        <v>0</v>
      </c>
      <c r="I87" s="190">
        <f t="shared" si="5"/>
        <v>-14000000</v>
      </c>
    </row>
    <row r="88" spans="1:9">
      <c r="A88" s="102" t="s">
        <v>319</v>
      </c>
      <c r="B88" s="102" t="s">
        <v>320</v>
      </c>
      <c r="C88" s="186">
        <v>0</v>
      </c>
      <c r="D88" s="186">
        <v>0</v>
      </c>
      <c r="E88" s="186">
        <v>10736842</v>
      </c>
      <c r="F88" s="186">
        <v>0</v>
      </c>
      <c r="G88" s="186">
        <v>10736842</v>
      </c>
      <c r="H88" s="186">
        <v>0</v>
      </c>
      <c r="I88" s="190">
        <f t="shared" si="5"/>
        <v>-10736842</v>
      </c>
    </row>
    <row r="89" spans="1:9">
      <c r="A89" s="102" t="s">
        <v>321</v>
      </c>
      <c r="B89" s="102" t="s">
        <v>322</v>
      </c>
      <c r="C89" s="186">
        <v>0</v>
      </c>
      <c r="D89" s="186">
        <v>0</v>
      </c>
      <c r="E89" s="186">
        <v>5000000</v>
      </c>
      <c r="F89" s="186">
        <v>0</v>
      </c>
      <c r="G89" s="186">
        <v>5000000</v>
      </c>
      <c r="H89" s="186">
        <v>0</v>
      </c>
      <c r="I89" s="190">
        <f t="shared" si="5"/>
        <v>-5000000</v>
      </c>
    </row>
    <row r="90" spans="1:9">
      <c r="A90" s="102" t="s">
        <v>329</v>
      </c>
      <c r="B90" s="102" t="s">
        <v>330</v>
      </c>
      <c r="C90" s="186">
        <v>0</v>
      </c>
      <c r="D90" s="186">
        <v>0</v>
      </c>
      <c r="E90" s="186">
        <v>4087400</v>
      </c>
      <c r="F90" s="186">
        <v>0</v>
      </c>
      <c r="G90" s="186">
        <v>4087400</v>
      </c>
      <c r="H90" s="186">
        <v>0</v>
      </c>
      <c r="I90" s="190">
        <f t="shared" si="5"/>
        <v>-4087400</v>
      </c>
    </row>
    <row r="91" spans="1:9">
      <c r="A91" s="102" t="s">
        <v>331</v>
      </c>
      <c r="B91" s="102" t="s">
        <v>332</v>
      </c>
      <c r="C91" s="186">
        <v>0</v>
      </c>
      <c r="D91" s="186">
        <v>0</v>
      </c>
      <c r="E91" s="186">
        <v>2752000</v>
      </c>
      <c r="F91" s="186">
        <v>0</v>
      </c>
      <c r="G91" s="186">
        <v>2752000</v>
      </c>
      <c r="H91" s="186">
        <v>0</v>
      </c>
      <c r="I91" s="190">
        <f t="shared" si="5"/>
        <v>-2752000</v>
      </c>
    </row>
    <row r="92" spans="1:9">
      <c r="A92" s="102" t="s">
        <v>333</v>
      </c>
      <c r="B92" s="102" t="s">
        <v>334</v>
      </c>
      <c r="C92" s="186">
        <v>0</v>
      </c>
      <c r="D92" s="186">
        <v>0</v>
      </c>
      <c r="E92" s="186">
        <v>3000000</v>
      </c>
      <c r="F92" s="186">
        <v>0</v>
      </c>
      <c r="G92" s="186">
        <v>3000000</v>
      </c>
      <c r="H92" s="186">
        <v>0</v>
      </c>
      <c r="I92" s="190">
        <f t="shared" si="5"/>
        <v>-3000000</v>
      </c>
    </row>
    <row r="93" spans="1:9">
      <c r="A93" s="102" t="s">
        <v>341</v>
      </c>
      <c r="B93" s="102" t="s">
        <v>342</v>
      </c>
      <c r="C93" s="186">
        <v>0</v>
      </c>
      <c r="D93" s="186">
        <v>0</v>
      </c>
      <c r="E93" s="186">
        <v>41127429.100000001</v>
      </c>
      <c r="F93" s="186">
        <v>0</v>
      </c>
      <c r="G93" s="186">
        <v>41127429.100000001</v>
      </c>
      <c r="H93" s="186">
        <v>0</v>
      </c>
      <c r="I93" s="190">
        <f t="shared" si="5"/>
        <v>-41127429.100000001</v>
      </c>
    </row>
    <row r="94" spans="1:9">
      <c r="A94" s="102" t="s">
        <v>343</v>
      </c>
      <c r="B94" s="102" t="s">
        <v>344</v>
      </c>
      <c r="C94" s="186">
        <v>0</v>
      </c>
      <c r="D94" s="186">
        <v>0</v>
      </c>
      <c r="E94" s="186">
        <v>14000</v>
      </c>
      <c r="F94" s="186">
        <v>0</v>
      </c>
      <c r="G94" s="186">
        <v>14000</v>
      </c>
      <c r="H94" s="186">
        <v>0</v>
      </c>
      <c r="I94" s="190">
        <f t="shared" si="5"/>
        <v>-14000</v>
      </c>
    </row>
    <row r="95" spans="1:9">
      <c r="A95" s="102" t="s">
        <v>345</v>
      </c>
      <c r="B95" s="102" t="s">
        <v>346</v>
      </c>
      <c r="C95" s="186">
        <v>0</v>
      </c>
      <c r="D95" s="186">
        <v>0</v>
      </c>
      <c r="E95" s="186">
        <v>960000</v>
      </c>
      <c r="F95" s="186">
        <v>0</v>
      </c>
      <c r="G95" s="186">
        <v>960000</v>
      </c>
      <c r="H95" s="186">
        <v>0</v>
      </c>
      <c r="I95" s="190">
        <f t="shared" si="5"/>
        <v>-960000</v>
      </c>
    </row>
    <row r="96" spans="1:9">
      <c r="A96" s="102" t="s">
        <v>347</v>
      </c>
      <c r="B96" s="102" t="s">
        <v>348</v>
      </c>
      <c r="C96" s="186">
        <v>0</v>
      </c>
      <c r="D96" s="186">
        <v>0</v>
      </c>
      <c r="E96" s="186">
        <v>940000</v>
      </c>
      <c r="F96" s="186">
        <v>0</v>
      </c>
      <c r="G96" s="186">
        <v>940000</v>
      </c>
      <c r="H96" s="186">
        <v>0</v>
      </c>
      <c r="I96" s="190">
        <f t="shared" si="5"/>
        <v>-940000</v>
      </c>
    </row>
    <row r="97" spans="1:9">
      <c r="A97" s="102" t="s">
        <v>349</v>
      </c>
      <c r="B97" s="102" t="s">
        <v>350</v>
      </c>
      <c r="C97" s="186">
        <v>0</v>
      </c>
      <c r="D97" s="186">
        <v>0</v>
      </c>
      <c r="E97" s="186">
        <v>18708726.879999999</v>
      </c>
      <c r="F97" s="186">
        <v>0</v>
      </c>
      <c r="G97" s="186">
        <v>18708726.879999999</v>
      </c>
      <c r="H97" s="186">
        <v>0</v>
      </c>
      <c r="I97" s="190">
        <f t="shared" si="5"/>
        <v>-18708726.879999999</v>
      </c>
    </row>
    <row r="98" spans="1:9">
      <c r="A98" s="102" t="s">
        <v>351</v>
      </c>
      <c r="B98" s="102" t="s">
        <v>352</v>
      </c>
      <c r="C98" s="186">
        <v>0</v>
      </c>
      <c r="D98" s="186">
        <v>0</v>
      </c>
      <c r="E98" s="186">
        <v>12472479.25</v>
      </c>
      <c r="F98" s="186">
        <v>0</v>
      </c>
      <c r="G98" s="186">
        <v>12472479.25</v>
      </c>
      <c r="H98" s="186">
        <v>0</v>
      </c>
      <c r="I98" s="190">
        <f t="shared" si="5"/>
        <v>-12472479.25</v>
      </c>
    </row>
    <row r="99" spans="1:9">
      <c r="A99" s="102" t="s">
        <v>353</v>
      </c>
      <c r="B99" s="102" t="s">
        <v>354</v>
      </c>
      <c r="C99" s="186">
        <v>0</v>
      </c>
      <c r="D99" s="186">
        <v>0</v>
      </c>
      <c r="E99" s="186">
        <v>12472479.25</v>
      </c>
      <c r="F99" s="186">
        <v>0</v>
      </c>
      <c r="G99" s="186">
        <v>12472479.25</v>
      </c>
      <c r="H99" s="186">
        <v>0</v>
      </c>
      <c r="I99" s="190">
        <f t="shared" si="5"/>
        <v>-12472479.25</v>
      </c>
    </row>
    <row r="100" spans="1:9">
      <c r="A100" s="102" t="s">
        <v>355</v>
      </c>
      <c r="B100" s="102" t="s">
        <v>356</v>
      </c>
      <c r="C100" s="186">
        <v>0</v>
      </c>
      <c r="D100" s="186">
        <v>0</v>
      </c>
      <c r="E100" s="186">
        <v>21989549</v>
      </c>
      <c r="F100" s="186">
        <v>21989549</v>
      </c>
      <c r="G100" s="186">
        <v>0</v>
      </c>
      <c r="H100" s="186">
        <v>0</v>
      </c>
      <c r="I100" s="190">
        <f t="shared" si="5"/>
        <v>0</v>
      </c>
    </row>
    <row r="101" spans="1:9">
      <c r="A101" s="102" t="s">
        <v>357</v>
      </c>
      <c r="B101" s="102" t="s">
        <v>358</v>
      </c>
      <c r="C101" s="186">
        <v>0</v>
      </c>
      <c r="D101" s="186">
        <v>0</v>
      </c>
      <c r="E101" s="186">
        <v>24944970.489999998</v>
      </c>
      <c r="F101" s="186">
        <v>0</v>
      </c>
      <c r="G101" s="186">
        <v>24944970.489999998</v>
      </c>
      <c r="H101" s="186">
        <v>0</v>
      </c>
      <c r="I101" s="190">
        <f t="shared" si="5"/>
        <v>-24944970.489999998</v>
      </c>
    </row>
    <row r="102" spans="1:9">
      <c r="A102" s="102" t="s">
        <v>365</v>
      </c>
      <c r="B102" s="102" t="s">
        <v>366</v>
      </c>
      <c r="C102" s="186">
        <v>0</v>
      </c>
      <c r="D102" s="186">
        <v>0</v>
      </c>
      <c r="E102" s="186">
        <v>3484800</v>
      </c>
      <c r="F102" s="186">
        <v>0</v>
      </c>
      <c r="G102" s="186">
        <v>3484800</v>
      </c>
      <c r="H102" s="186">
        <v>0</v>
      </c>
      <c r="I102" s="190">
        <f t="shared" si="5"/>
        <v>-3484800</v>
      </c>
    </row>
    <row r="103" spans="1:9">
      <c r="A103" s="102" t="s">
        <v>369</v>
      </c>
      <c r="B103" s="102" t="s">
        <v>370</v>
      </c>
      <c r="C103" s="186">
        <v>0</v>
      </c>
      <c r="D103" s="186">
        <v>0</v>
      </c>
      <c r="E103" s="186">
        <v>57024000</v>
      </c>
      <c r="F103" s="186">
        <v>0</v>
      </c>
      <c r="G103" s="186">
        <v>57024000</v>
      </c>
      <c r="H103" s="186">
        <v>0</v>
      </c>
      <c r="I103" s="190">
        <f t="shared" si="5"/>
        <v>-57024000</v>
      </c>
    </row>
    <row r="104" spans="1:9">
      <c r="A104" s="102" t="s">
        <v>375</v>
      </c>
      <c r="B104" s="102" t="s">
        <v>376</v>
      </c>
      <c r="C104" s="186">
        <v>0</v>
      </c>
      <c r="D104" s="186">
        <v>0</v>
      </c>
      <c r="E104" s="186">
        <v>4120000</v>
      </c>
      <c r="F104" s="186">
        <v>1000000</v>
      </c>
      <c r="G104" s="186">
        <v>3120000</v>
      </c>
      <c r="H104" s="186">
        <v>0</v>
      </c>
      <c r="I104" s="190">
        <f t="shared" si="5"/>
        <v>-3120000</v>
      </c>
    </row>
    <row r="105" spans="1:9">
      <c r="A105" s="102" t="s">
        <v>377</v>
      </c>
      <c r="B105" s="102" t="s">
        <v>378</v>
      </c>
      <c r="C105" s="186">
        <v>0</v>
      </c>
      <c r="D105" s="186">
        <v>0</v>
      </c>
      <c r="E105" s="186">
        <v>11555000</v>
      </c>
      <c r="F105" s="186">
        <v>0</v>
      </c>
      <c r="G105" s="186">
        <v>11555000</v>
      </c>
      <c r="H105" s="186">
        <v>0</v>
      </c>
      <c r="I105" s="190">
        <f t="shared" si="5"/>
        <v>-11555000</v>
      </c>
    </row>
    <row r="106" spans="1:9">
      <c r="A106" s="102" t="s">
        <v>379</v>
      </c>
      <c r="B106" s="102" t="s">
        <v>380</v>
      </c>
      <c r="C106" s="186">
        <v>0</v>
      </c>
      <c r="D106" s="186">
        <v>0</v>
      </c>
      <c r="E106" s="186">
        <v>2455200</v>
      </c>
      <c r="F106" s="186">
        <v>0</v>
      </c>
      <c r="G106" s="186">
        <v>2455200</v>
      </c>
      <c r="H106" s="186">
        <v>0</v>
      </c>
      <c r="I106" s="190">
        <f t="shared" si="5"/>
        <v>-2455200</v>
      </c>
    </row>
    <row r="107" spans="1:9">
      <c r="A107" s="102" t="s">
        <v>381</v>
      </c>
      <c r="B107" s="102" t="s">
        <v>382</v>
      </c>
      <c r="C107" s="186">
        <v>0</v>
      </c>
      <c r="D107" s="186">
        <v>0</v>
      </c>
      <c r="E107" s="186">
        <v>70000</v>
      </c>
      <c r="F107" s="186">
        <v>0</v>
      </c>
      <c r="G107" s="186">
        <v>70000</v>
      </c>
      <c r="H107" s="186">
        <v>0</v>
      </c>
      <c r="I107" s="190">
        <f t="shared" si="5"/>
        <v>-70000</v>
      </c>
    </row>
    <row r="108" spans="1:9">
      <c r="A108" s="102" t="s">
        <v>385</v>
      </c>
      <c r="B108" s="102" t="s">
        <v>386</v>
      </c>
      <c r="C108" s="186">
        <v>0</v>
      </c>
      <c r="D108" s="186">
        <v>0</v>
      </c>
      <c r="E108" s="186">
        <v>787200</v>
      </c>
      <c r="F108" s="186">
        <v>0</v>
      </c>
      <c r="G108" s="186">
        <v>787200</v>
      </c>
      <c r="H108" s="186">
        <v>0</v>
      </c>
      <c r="I108" s="190">
        <f t="shared" si="5"/>
        <v>-787200</v>
      </c>
    </row>
    <row r="109" spans="1:9">
      <c r="A109" s="102" t="s">
        <v>387</v>
      </c>
      <c r="B109" s="102" t="s">
        <v>388</v>
      </c>
      <c r="C109" s="186">
        <v>0</v>
      </c>
      <c r="D109" s="186">
        <v>0</v>
      </c>
      <c r="E109" s="186">
        <v>816481.35</v>
      </c>
      <c r="F109" s="186">
        <v>0</v>
      </c>
      <c r="G109" s="186">
        <v>816481.35</v>
      </c>
      <c r="H109" s="186">
        <v>0</v>
      </c>
      <c r="I109" s="190">
        <f t="shared" si="5"/>
        <v>-816481.35</v>
      </c>
    </row>
    <row r="110" spans="1:9">
      <c r="A110" s="102" t="s">
        <v>389</v>
      </c>
      <c r="B110" s="102" t="s">
        <v>390</v>
      </c>
      <c r="C110" s="186">
        <v>0</v>
      </c>
      <c r="D110" s="186">
        <v>0</v>
      </c>
      <c r="E110" s="186">
        <v>0.5</v>
      </c>
      <c r="F110" s="186">
        <v>0.82</v>
      </c>
      <c r="G110" s="186">
        <v>0</v>
      </c>
      <c r="H110" s="186">
        <v>0.32</v>
      </c>
      <c r="I110" s="190">
        <f t="shared" si="5"/>
        <v>0.31999999999999995</v>
      </c>
    </row>
    <row r="111" spans="1:9">
      <c r="A111" s="102" t="s">
        <v>391</v>
      </c>
      <c r="B111" s="102" t="s">
        <v>392</v>
      </c>
      <c r="C111" s="186">
        <v>0</v>
      </c>
      <c r="D111" s="186">
        <v>0</v>
      </c>
      <c r="E111" s="186">
        <v>3737000</v>
      </c>
      <c r="F111" s="186">
        <v>0</v>
      </c>
      <c r="G111" s="186">
        <v>3737000</v>
      </c>
      <c r="H111" s="186">
        <v>0</v>
      </c>
      <c r="I111" s="190">
        <f t="shared" si="5"/>
        <v>-3737000</v>
      </c>
    </row>
    <row r="112" spans="1:9">
      <c r="A112" s="102" t="s">
        <v>393</v>
      </c>
      <c r="B112" s="102" t="s">
        <v>394</v>
      </c>
      <c r="C112" s="186">
        <v>0</v>
      </c>
      <c r="D112" s="186">
        <v>0</v>
      </c>
      <c r="E112" s="186">
        <v>8399500</v>
      </c>
      <c r="F112" s="186">
        <v>0</v>
      </c>
      <c r="G112" s="186">
        <v>8399500</v>
      </c>
      <c r="H112" s="186">
        <v>0</v>
      </c>
      <c r="I112" s="190">
        <f t="shared" si="5"/>
        <v>-8399500</v>
      </c>
    </row>
    <row r="113" spans="1:9">
      <c r="A113" s="102" t="s">
        <v>395</v>
      </c>
      <c r="B113" s="102" t="s">
        <v>396</v>
      </c>
      <c r="C113" s="186">
        <v>0</v>
      </c>
      <c r="D113" s="186">
        <v>0</v>
      </c>
      <c r="E113" s="186">
        <v>1948169.84</v>
      </c>
      <c r="F113" s="186">
        <v>0</v>
      </c>
      <c r="G113" s="186">
        <v>1948169.84</v>
      </c>
      <c r="H113" s="186">
        <v>0</v>
      </c>
      <c r="I113" s="190">
        <f t="shared" si="5"/>
        <v>-1948169.84</v>
      </c>
    </row>
    <row r="114" spans="1:9">
      <c r="A114" s="102" t="s">
        <v>397</v>
      </c>
      <c r="B114" s="102" t="s">
        <v>398</v>
      </c>
      <c r="C114" s="186">
        <v>0</v>
      </c>
      <c r="D114" s="186">
        <v>0</v>
      </c>
      <c r="E114" s="186">
        <v>580000</v>
      </c>
      <c r="F114" s="186">
        <v>0</v>
      </c>
      <c r="G114" s="186">
        <v>580000</v>
      </c>
      <c r="H114" s="186">
        <v>0</v>
      </c>
      <c r="I114" s="190">
        <f t="shared" si="5"/>
        <v>-580000</v>
      </c>
    </row>
    <row r="115" spans="1:9">
      <c r="A115" s="102" t="s">
        <v>401</v>
      </c>
      <c r="B115" s="102" t="s">
        <v>402</v>
      </c>
      <c r="C115" s="186">
        <v>0</v>
      </c>
      <c r="D115" s="186">
        <v>0</v>
      </c>
      <c r="E115" s="186">
        <v>3006894.52</v>
      </c>
      <c r="F115" s="186">
        <v>0</v>
      </c>
      <c r="G115" s="186">
        <v>3006894.52</v>
      </c>
      <c r="H115" s="186">
        <v>0</v>
      </c>
      <c r="I115" s="190">
        <f t="shared" si="5"/>
        <v>-3006894.52</v>
      </c>
    </row>
    <row r="116" spans="1:9">
      <c r="A116" s="102" t="s">
        <v>403</v>
      </c>
      <c r="B116" s="102" t="s">
        <v>404</v>
      </c>
      <c r="C116" s="186">
        <v>0</v>
      </c>
      <c r="D116" s="186">
        <v>0</v>
      </c>
      <c r="E116" s="186">
        <v>268000</v>
      </c>
      <c r="F116" s="186">
        <v>0</v>
      </c>
      <c r="G116" s="186">
        <v>268000</v>
      </c>
      <c r="H116" s="186">
        <v>0</v>
      </c>
      <c r="I116" s="190">
        <f t="shared" si="5"/>
        <v>-268000</v>
      </c>
    </row>
    <row r="117" spans="1:9">
      <c r="A117" s="102" t="s">
        <v>405</v>
      </c>
      <c r="B117" s="102" t="s">
        <v>406</v>
      </c>
      <c r="C117" s="186">
        <v>0</v>
      </c>
      <c r="D117" s="186">
        <v>0</v>
      </c>
      <c r="E117" s="186">
        <v>2400000</v>
      </c>
      <c r="F117" s="186">
        <v>1042590</v>
      </c>
      <c r="G117" s="186">
        <v>1357410</v>
      </c>
      <c r="H117" s="186">
        <v>0</v>
      </c>
      <c r="I117" s="190">
        <f t="shared" si="5"/>
        <v>-1357410</v>
      </c>
    </row>
    <row r="118" spans="1:9">
      <c r="A118" s="102" t="s">
        <v>407</v>
      </c>
      <c r="B118" s="102" t="s">
        <v>408</v>
      </c>
      <c r="C118" s="186">
        <v>0</v>
      </c>
      <c r="D118" s="186">
        <v>0</v>
      </c>
      <c r="E118" s="186">
        <v>2780833</v>
      </c>
      <c r="F118" s="186">
        <v>213730</v>
      </c>
      <c r="G118" s="186">
        <v>2567103</v>
      </c>
      <c r="H118" s="186">
        <v>0</v>
      </c>
      <c r="I118" s="190">
        <f t="shared" si="5"/>
        <v>-2567103</v>
      </c>
    </row>
    <row r="119" spans="1:9">
      <c r="A119" s="102" t="s">
        <v>409</v>
      </c>
      <c r="B119" s="102" t="s">
        <v>410</v>
      </c>
      <c r="C119" s="186">
        <v>0</v>
      </c>
      <c r="D119" s="186">
        <v>0</v>
      </c>
      <c r="E119" s="186">
        <v>11850000</v>
      </c>
      <c r="F119" s="186">
        <v>0</v>
      </c>
      <c r="G119" s="186">
        <v>11850000</v>
      </c>
      <c r="H119" s="186">
        <v>0</v>
      </c>
      <c r="I119" s="190">
        <f t="shared" si="5"/>
        <v>-11850000</v>
      </c>
    </row>
    <row r="120" spans="1:9">
      <c r="A120" s="102" t="s">
        <v>417</v>
      </c>
      <c r="B120" s="102" t="s">
        <v>418</v>
      </c>
      <c r="C120" s="186">
        <v>0</v>
      </c>
      <c r="D120" s="186">
        <v>0</v>
      </c>
      <c r="E120" s="186">
        <v>1897788</v>
      </c>
      <c r="F120" s="186">
        <v>0</v>
      </c>
      <c r="G120" s="186">
        <v>1897788</v>
      </c>
      <c r="H120" s="186">
        <v>0</v>
      </c>
      <c r="I120" s="190">
        <f t="shared" si="5"/>
        <v>-1897788</v>
      </c>
    </row>
    <row r="121" spans="1:9">
      <c r="A121" s="102" t="s">
        <v>419</v>
      </c>
      <c r="B121" s="102" t="s">
        <v>420</v>
      </c>
      <c r="C121" s="186">
        <v>0</v>
      </c>
      <c r="D121" s="186">
        <v>0</v>
      </c>
      <c r="E121" s="186">
        <v>7237600</v>
      </c>
      <c r="F121" s="186">
        <v>68689.649999999994</v>
      </c>
      <c r="G121" s="186">
        <v>7168910.3499999996</v>
      </c>
      <c r="H121" s="186">
        <v>0</v>
      </c>
      <c r="I121" s="190">
        <f t="shared" si="5"/>
        <v>-7168910.3499999996</v>
      </c>
    </row>
    <row r="122" spans="1:9">
      <c r="A122" s="102" t="s">
        <v>423</v>
      </c>
      <c r="B122" s="102" t="s">
        <v>424</v>
      </c>
      <c r="C122" s="186">
        <v>0</v>
      </c>
      <c r="D122" s="186">
        <v>0</v>
      </c>
      <c r="E122" s="186">
        <v>320000</v>
      </c>
      <c r="F122" s="186">
        <v>0</v>
      </c>
      <c r="G122" s="186">
        <v>320000</v>
      </c>
      <c r="H122" s="186">
        <v>0</v>
      </c>
      <c r="I122" s="190">
        <f t="shared" si="5"/>
        <v>-320000</v>
      </c>
    </row>
    <row r="123" spans="1:9">
      <c r="A123" s="102" t="s">
        <v>429</v>
      </c>
      <c r="B123" s="102" t="s">
        <v>430</v>
      </c>
      <c r="C123" s="186">
        <v>0</v>
      </c>
      <c r="D123" s="186">
        <v>0</v>
      </c>
      <c r="E123" s="186">
        <v>16661400</v>
      </c>
      <c r="F123" s="186">
        <v>0</v>
      </c>
      <c r="G123" s="186">
        <v>16661400</v>
      </c>
      <c r="H123" s="186">
        <v>0</v>
      </c>
      <c r="I123" s="190">
        <f t="shared" si="5"/>
        <v>-16661400</v>
      </c>
    </row>
    <row r="124" spans="1:9">
      <c r="A124" s="102" t="s">
        <v>431</v>
      </c>
      <c r="B124" s="102" t="s">
        <v>432</v>
      </c>
      <c r="C124" s="186">
        <v>0</v>
      </c>
      <c r="D124" s="186">
        <v>0</v>
      </c>
      <c r="E124" s="186">
        <v>14750760.4</v>
      </c>
      <c r="F124" s="186">
        <v>0</v>
      </c>
      <c r="G124" s="186">
        <v>14750760.4</v>
      </c>
      <c r="H124" s="186">
        <v>0</v>
      </c>
      <c r="I124" s="190">
        <f t="shared" si="5"/>
        <v>-14750760.4</v>
      </c>
    </row>
    <row r="125" spans="1:9">
      <c r="A125" s="102" t="s">
        <v>437</v>
      </c>
      <c r="B125" s="102" t="s">
        <v>438</v>
      </c>
      <c r="C125" s="186">
        <v>0</v>
      </c>
      <c r="D125" s="186">
        <v>0</v>
      </c>
      <c r="E125" s="186">
        <v>10674717.02</v>
      </c>
      <c r="F125" s="186">
        <v>0</v>
      </c>
      <c r="G125" s="186">
        <v>10674717.02</v>
      </c>
      <c r="H125" s="186">
        <v>0</v>
      </c>
      <c r="I125" s="190">
        <f t="shared" si="5"/>
        <v>-10674717.02</v>
      </c>
    </row>
    <row r="126" spans="1:9">
      <c r="A126" s="102" t="s">
        <v>439</v>
      </c>
      <c r="B126" s="102" t="s">
        <v>440</v>
      </c>
      <c r="C126" s="186">
        <v>0</v>
      </c>
      <c r="D126" s="186">
        <v>0</v>
      </c>
      <c r="E126" s="186">
        <v>13133827.369999999</v>
      </c>
      <c r="F126" s="186">
        <v>0</v>
      </c>
      <c r="G126" s="186">
        <v>13133827.369999999</v>
      </c>
      <c r="H126" s="186">
        <v>0</v>
      </c>
      <c r="I126" s="190">
        <f t="shared" si="5"/>
        <v>-13133827.369999999</v>
      </c>
    </row>
    <row r="127" spans="1:9">
      <c r="A127" s="102" t="s">
        <v>441</v>
      </c>
      <c r="B127" s="102" t="s">
        <v>442</v>
      </c>
      <c r="C127" s="186">
        <v>0</v>
      </c>
      <c r="D127" s="186">
        <v>0</v>
      </c>
      <c r="E127" s="186">
        <v>5513921.7699999996</v>
      </c>
      <c r="F127" s="186">
        <v>0</v>
      </c>
      <c r="G127" s="186">
        <v>5513921.7699999996</v>
      </c>
      <c r="H127" s="186">
        <v>0</v>
      </c>
      <c r="I127" s="190">
        <f t="shared" si="5"/>
        <v>-5513921.7699999996</v>
      </c>
    </row>
    <row r="128" spans="1:9">
      <c r="A128" s="102" t="s">
        <v>443</v>
      </c>
      <c r="B128" s="102" t="s">
        <v>444</v>
      </c>
      <c r="C128" s="186">
        <v>0</v>
      </c>
      <c r="D128" s="186">
        <v>0</v>
      </c>
      <c r="E128" s="186">
        <v>1161032.02</v>
      </c>
      <c r="F128" s="186">
        <v>0</v>
      </c>
      <c r="G128" s="186">
        <v>1161032.02</v>
      </c>
      <c r="H128" s="186">
        <v>0</v>
      </c>
      <c r="I128" s="190">
        <f t="shared" si="5"/>
        <v>-1161032.02</v>
      </c>
    </row>
    <row r="129" spans="1:18">
      <c r="A129" s="102" t="s">
        <v>445</v>
      </c>
      <c r="B129" s="102" t="s">
        <v>446</v>
      </c>
      <c r="C129" s="186">
        <v>0</v>
      </c>
      <c r="D129" s="186">
        <v>0</v>
      </c>
      <c r="E129" s="186">
        <v>3234013.57</v>
      </c>
      <c r="F129" s="186">
        <v>0</v>
      </c>
      <c r="G129" s="186">
        <v>3234013.57</v>
      </c>
      <c r="H129" s="186">
        <v>0</v>
      </c>
      <c r="I129" s="190">
        <f t="shared" si="5"/>
        <v>-3234013.57</v>
      </c>
    </row>
    <row r="130" spans="1:18">
      <c r="A130" s="102" t="s">
        <v>447</v>
      </c>
      <c r="B130" s="102" t="s">
        <v>448</v>
      </c>
      <c r="C130" s="186">
        <v>0</v>
      </c>
      <c r="D130" s="186">
        <v>0</v>
      </c>
      <c r="E130" s="186">
        <v>5878716.75</v>
      </c>
      <c r="F130" s="186">
        <v>0</v>
      </c>
      <c r="G130" s="186">
        <v>5878716.75</v>
      </c>
      <c r="H130" s="186">
        <v>0</v>
      </c>
      <c r="I130" s="190">
        <f t="shared" si="5"/>
        <v>-5878716.75</v>
      </c>
    </row>
    <row r="131" spans="1:18">
      <c r="A131" s="102" t="s">
        <v>451</v>
      </c>
      <c r="B131" s="102" t="s">
        <v>452</v>
      </c>
      <c r="C131" s="186">
        <v>0</v>
      </c>
      <c r="D131" s="186">
        <v>0</v>
      </c>
      <c r="E131" s="186">
        <v>0</v>
      </c>
      <c r="F131" s="186">
        <v>665625736.12</v>
      </c>
      <c r="G131" s="186">
        <v>0</v>
      </c>
      <c r="H131" s="186">
        <v>665625736.12</v>
      </c>
      <c r="I131" s="190">
        <f t="shared" si="5"/>
        <v>665625736.12</v>
      </c>
    </row>
    <row r="132" spans="1:18">
      <c r="A132" s="102" t="s">
        <v>455</v>
      </c>
      <c r="B132" s="102" t="s">
        <v>456</v>
      </c>
      <c r="C132" s="186">
        <v>0</v>
      </c>
      <c r="D132" s="186">
        <v>0</v>
      </c>
      <c r="E132" s="186">
        <v>40700259.93</v>
      </c>
      <c r="F132" s="186">
        <v>0</v>
      </c>
      <c r="G132" s="186">
        <v>40700259.93</v>
      </c>
      <c r="H132" s="186">
        <v>0</v>
      </c>
      <c r="I132" s="190">
        <f t="shared" si="5"/>
        <v>-40700259.93</v>
      </c>
    </row>
    <row r="133" spans="1:18">
      <c r="A133" s="102" t="s">
        <v>457</v>
      </c>
      <c r="B133" s="102" t="s">
        <v>458</v>
      </c>
      <c r="C133" s="186">
        <v>0</v>
      </c>
      <c r="D133" s="186">
        <v>0</v>
      </c>
      <c r="E133" s="186">
        <v>0</v>
      </c>
      <c r="F133" s="186">
        <v>107914590.79000001</v>
      </c>
      <c r="G133" s="186">
        <v>0</v>
      </c>
      <c r="H133" s="186">
        <v>107914590.79000001</v>
      </c>
      <c r="I133" s="190">
        <f t="shared" si="5"/>
        <v>107914590.79000001</v>
      </c>
    </row>
    <row r="134" spans="1:18">
      <c r="A134" s="102" t="s">
        <v>461</v>
      </c>
      <c r="B134" s="102" t="s">
        <v>462</v>
      </c>
      <c r="C134" s="186">
        <v>0</v>
      </c>
      <c r="D134" s="186">
        <v>0</v>
      </c>
      <c r="E134" s="186">
        <v>1402985.27</v>
      </c>
      <c r="F134" s="186">
        <v>2958133.81</v>
      </c>
      <c r="G134" s="186">
        <v>0</v>
      </c>
      <c r="H134" s="186">
        <v>1555148.54</v>
      </c>
      <c r="I134" s="190">
        <f t="shared" si="5"/>
        <v>1555148.54</v>
      </c>
    </row>
    <row r="135" spans="1:18">
      <c r="A135" s="102" t="s">
        <v>463</v>
      </c>
      <c r="B135" s="102" t="s">
        <v>464</v>
      </c>
      <c r="C135" s="186">
        <v>0</v>
      </c>
      <c r="D135" s="186">
        <v>0</v>
      </c>
      <c r="E135" s="186">
        <v>0</v>
      </c>
      <c r="F135" s="186">
        <v>112252458</v>
      </c>
      <c r="G135" s="186">
        <v>0</v>
      </c>
      <c r="H135" s="186">
        <v>112252458</v>
      </c>
      <c r="I135" s="190">
        <f t="shared" si="5"/>
        <v>112252458</v>
      </c>
    </row>
    <row r="136" spans="1:18">
      <c r="A136" s="102" t="s">
        <v>469</v>
      </c>
      <c r="B136" s="102" t="s">
        <v>470</v>
      </c>
      <c r="C136" s="186">
        <v>0</v>
      </c>
      <c r="D136" s="186">
        <v>0</v>
      </c>
      <c r="E136" s="186">
        <v>0</v>
      </c>
      <c r="F136" s="186">
        <v>2000</v>
      </c>
      <c r="G136" s="186">
        <v>0</v>
      </c>
      <c r="H136" s="186">
        <v>2000</v>
      </c>
      <c r="I136" s="190">
        <f t="shared" si="5"/>
        <v>2000</v>
      </c>
    </row>
    <row r="137" spans="1:18">
      <c r="B137" s="102" t="s">
        <v>471</v>
      </c>
      <c r="C137" s="106">
        <f>SUM(C80:C136)</f>
        <v>0</v>
      </c>
      <c r="D137" s="106">
        <f t="shared" ref="D137:H137" si="6">SUM(D80:D136)</f>
        <v>0</v>
      </c>
      <c r="E137" s="106">
        <f>SUM(E80:E136)</f>
        <v>669144012.99000001</v>
      </c>
      <c r="F137" s="106">
        <f t="shared" si="6"/>
        <v>913067478.18999994</v>
      </c>
      <c r="G137" s="106">
        <f t="shared" si="6"/>
        <v>643426468.56999993</v>
      </c>
      <c r="H137" s="106">
        <f t="shared" si="6"/>
        <v>887349933.76999998</v>
      </c>
      <c r="J137" s="201">
        <v>0</v>
      </c>
      <c r="K137" s="106">
        <v>-5.8593749999999998E-5</v>
      </c>
      <c r="L137" s="102" t="s">
        <v>265</v>
      </c>
      <c r="M137" s="102" t="s">
        <v>266</v>
      </c>
      <c r="N137" s="102" t="s">
        <v>267</v>
      </c>
      <c r="O137" s="102" t="s">
        <v>268</v>
      </c>
      <c r="P137" s="102" t="s">
        <v>269</v>
      </c>
      <c r="Q137" s="102" t="s">
        <v>270</v>
      </c>
      <c r="R137" s="102" t="s">
        <v>271</v>
      </c>
    </row>
    <row r="138" spans="1:18">
      <c r="A138" s="112">
        <v>1</v>
      </c>
      <c r="B138" s="103" t="s">
        <v>639</v>
      </c>
      <c r="E138" s="113">
        <f>+F137-E137</f>
        <v>243923465.19999993</v>
      </c>
      <c r="G138" s="113">
        <f>+H137-G137</f>
        <v>243923465.20000005</v>
      </c>
      <c r="I138" s="106">
        <f>SUM(I80:I136)</f>
        <v>243923465.19999999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R141"/>
  <sheetViews>
    <sheetView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I6" sqref="I6:I24"/>
    </sheetView>
  </sheetViews>
  <sheetFormatPr defaultRowHeight="15.75"/>
  <cols>
    <col min="1" max="1" width="8.125" style="103" customWidth="1"/>
    <col min="2" max="2" width="38.125" style="103" customWidth="1"/>
    <col min="3" max="3" width="15.25" style="103" bestFit="1" customWidth="1"/>
    <col min="4" max="4" width="15.25" style="103" customWidth="1"/>
    <col min="5" max="5" width="14.375" style="103" customWidth="1"/>
    <col min="6" max="6" width="14.125" style="103" customWidth="1"/>
    <col min="7" max="8" width="14.875" style="103" customWidth="1"/>
    <col min="9" max="9" width="15.625" style="103" customWidth="1"/>
    <col min="10" max="10" width="17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636</v>
      </c>
      <c r="F3" s="102" t="s">
        <v>112</v>
      </c>
    </row>
    <row r="4" spans="1:10">
      <c r="A4" s="185"/>
      <c r="B4" s="185"/>
      <c r="C4" s="184" t="s">
        <v>272</v>
      </c>
      <c r="D4" s="184" t="s">
        <v>273</v>
      </c>
      <c r="E4" s="184" t="s">
        <v>272</v>
      </c>
      <c r="F4" s="184" t="s">
        <v>273</v>
      </c>
      <c r="G4" s="184" t="s">
        <v>272</v>
      </c>
      <c r="H4" s="184" t="s">
        <v>273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6084000</v>
      </c>
      <c r="F5" s="186">
        <v>6084000</v>
      </c>
      <c r="G5" s="186">
        <v>10000000</v>
      </c>
      <c r="H5" s="186">
        <v>0</v>
      </c>
      <c r="I5" s="190">
        <f>+G5-C5</f>
        <v>0</v>
      </c>
      <c r="J5" s="113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190">
        <f t="shared" ref="I6:I69" si="0">+G6-C6</f>
        <v>0</v>
      </c>
      <c r="J6" s="113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190">
        <f t="shared" si="0"/>
        <v>0</v>
      </c>
      <c r="J7" s="113">
        <f t="shared" si="1"/>
        <v>0</v>
      </c>
    </row>
    <row r="8" spans="1:10">
      <c r="A8" s="102" t="s">
        <v>135</v>
      </c>
      <c r="B8" s="102" t="s">
        <v>136</v>
      </c>
      <c r="C8" s="186">
        <v>139221472.53999999</v>
      </c>
      <c r="D8" s="186">
        <v>0</v>
      </c>
      <c r="E8" s="186">
        <v>0</v>
      </c>
      <c r="F8" s="186">
        <v>1512764.81</v>
      </c>
      <c r="G8" s="186">
        <v>137708707.72999999</v>
      </c>
      <c r="H8" s="186">
        <v>0</v>
      </c>
      <c r="I8" s="190">
        <f t="shared" si="0"/>
        <v>-1512764.8100000024</v>
      </c>
      <c r="J8" s="113">
        <f t="shared" si="1"/>
        <v>0</v>
      </c>
    </row>
    <row r="9" spans="1:10">
      <c r="A9" s="102" t="s">
        <v>143</v>
      </c>
      <c r="B9" s="102" t="s">
        <v>144</v>
      </c>
      <c r="C9" s="186">
        <v>1584712.8</v>
      </c>
      <c r="D9" s="186">
        <v>0</v>
      </c>
      <c r="E9" s="186">
        <v>0</v>
      </c>
      <c r="F9" s="186">
        <v>56448.14</v>
      </c>
      <c r="G9" s="186">
        <v>1528264.66</v>
      </c>
      <c r="H9" s="186">
        <v>0</v>
      </c>
      <c r="I9" s="190">
        <f t="shared" si="0"/>
        <v>-56448.14000000013</v>
      </c>
      <c r="J9" s="113">
        <f t="shared" si="1"/>
        <v>0</v>
      </c>
    </row>
    <row r="10" spans="1:10">
      <c r="A10" s="102" t="s">
        <v>131</v>
      </c>
      <c r="B10" s="102" t="s">
        <v>132</v>
      </c>
      <c r="C10" s="186">
        <v>223382587</v>
      </c>
      <c r="D10" s="186">
        <v>0</v>
      </c>
      <c r="E10" s="186">
        <v>4208520969</v>
      </c>
      <c r="F10" s="186">
        <v>4222432666</v>
      </c>
      <c r="G10" s="186">
        <v>209470890</v>
      </c>
      <c r="H10" s="186">
        <v>0</v>
      </c>
      <c r="I10" s="190">
        <f t="shared" si="0"/>
        <v>-13911697</v>
      </c>
      <c r="J10" s="113">
        <f t="shared" si="1"/>
        <v>0</v>
      </c>
    </row>
    <row r="11" spans="1:10">
      <c r="A11" s="102" t="s">
        <v>121</v>
      </c>
      <c r="B11" s="102" t="s">
        <v>122</v>
      </c>
      <c r="C11" s="186">
        <v>43553618820</v>
      </c>
      <c r="D11" s="186">
        <v>0</v>
      </c>
      <c r="E11" s="186">
        <v>14707025363</v>
      </c>
      <c r="F11" s="186">
        <v>22424890783</v>
      </c>
      <c r="G11" s="186">
        <v>35835753400</v>
      </c>
      <c r="H11" s="186">
        <v>0</v>
      </c>
      <c r="I11" s="190">
        <f t="shared" si="0"/>
        <v>-7717865420</v>
      </c>
      <c r="J11" s="113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190">
        <f t="shared" si="0"/>
        <v>0</v>
      </c>
      <c r="J12" s="113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190">
        <f t="shared" si="0"/>
        <v>0</v>
      </c>
      <c r="J13" s="113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190">
        <f t="shared" si="0"/>
        <v>0</v>
      </c>
      <c r="J14" s="113">
        <f t="shared" si="1"/>
        <v>0</v>
      </c>
    </row>
    <row r="15" spans="1:10">
      <c r="A15" s="102" t="s">
        <v>278</v>
      </c>
      <c r="B15" s="102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190">
        <f t="shared" si="0"/>
        <v>0</v>
      </c>
      <c r="J15" s="113">
        <f t="shared" si="1"/>
        <v>0</v>
      </c>
    </row>
    <row r="16" spans="1:10">
      <c r="A16" s="102" t="s">
        <v>145</v>
      </c>
      <c r="B16" s="102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190">
        <f t="shared" si="0"/>
        <v>0</v>
      </c>
      <c r="J16" s="113">
        <f t="shared" si="1"/>
        <v>0</v>
      </c>
    </row>
    <row r="17" spans="1:10">
      <c r="A17" s="102" t="s">
        <v>149</v>
      </c>
      <c r="B17" s="102" t="s">
        <v>150</v>
      </c>
      <c r="C17" s="186">
        <v>8928498729.3700047</v>
      </c>
      <c r="D17" s="186">
        <v>0</v>
      </c>
      <c r="E17" s="186">
        <v>217331347.18000001</v>
      </c>
      <c r="F17" s="186">
        <v>2069209875.6800001</v>
      </c>
      <c r="G17" s="186">
        <v>7076620200.8700047</v>
      </c>
      <c r="H17" s="186">
        <v>0</v>
      </c>
      <c r="I17" s="190">
        <f t="shared" si="0"/>
        <v>-1851878528.5</v>
      </c>
      <c r="J17" s="113">
        <f t="shared" si="1"/>
        <v>0</v>
      </c>
    </row>
    <row r="18" spans="1:10">
      <c r="A18" s="102" t="s">
        <v>139</v>
      </c>
      <c r="B18" s="102" t="s">
        <v>140</v>
      </c>
      <c r="C18" s="186">
        <v>202006728</v>
      </c>
      <c r="D18" s="186">
        <v>0</v>
      </c>
      <c r="E18" s="186">
        <v>0</v>
      </c>
      <c r="F18" s="186">
        <v>32550137.780000001</v>
      </c>
      <c r="G18" s="186">
        <v>169456590.22</v>
      </c>
      <c r="H18" s="186">
        <v>0</v>
      </c>
      <c r="I18" s="190">
        <f t="shared" si="0"/>
        <v>-32550137.780000001</v>
      </c>
      <c r="J18" s="113">
        <f t="shared" si="1"/>
        <v>0</v>
      </c>
    </row>
    <row r="19" spans="1:10">
      <c r="A19" s="102" t="s">
        <v>137</v>
      </c>
      <c r="B19" s="102" t="s">
        <v>138</v>
      </c>
      <c r="C19" s="186">
        <v>3639030012</v>
      </c>
      <c r="D19" s="186">
        <v>0</v>
      </c>
      <c r="E19" s="186">
        <v>169863014</v>
      </c>
      <c r="F19" s="186">
        <v>0</v>
      </c>
      <c r="G19" s="186">
        <v>3808893026</v>
      </c>
      <c r="H19" s="186">
        <v>0</v>
      </c>
      <c r="I19" s="190">
        <f t="shared" si="0"/>
        <v>169863014</v>
      </c>
      <c r="J19" s="113">
        <f t="shared" si="1"/>
        <v>0</v>
      </c>
    </row>
    <row r="20" spans="1:10">
      <c r="A20" s="102" t="s">
        <v>151</v>
      </c>
      <c r="B20" s="102" t="s">
        <v>152</v>
      </c>
      <c r="C20" s="186">
        <v>1120814884.8900118</v>
      </c>
      <c r="D20" s="186">
        <v>0</v>
      </c>
      <c r="E20" s="186">
        <v>286853304.40999997</v>
      </c>
      <c r="F20" s="186">
        <v>0</v>
      </c>
      <c r="G20" s="186">
        <v>1407668189.3000116</v>
      </c>
      <c r="H20" s="186">
        <v>0</v>
      </c>
      <c r="I20" s="190">
        <f t="shared" si="0"/>
        <v>286853304.40999985</v>
      </c>
      <c r="J20" s="113">
        <f t="shared" si="1"/>
        <v>0</v>
      </c>
    </row>
    <row r="21" spans="1:10">
      <c r="A21" s="102" t="s">
        <v>147</v>
      </c>
      <c r="B21" s="102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190">
        <f t="shared" si="0"/>
        <v>0</v>
      </c>
      <c r="J21" s="113">
        <f t="shared" si="1"/>
        <v>0</v>
      </c>
    </row>
    <row r="22" spans="1:10">
      <c r="A22" s="102" t="s">
        <v>125</v>
      </c>
      <c r="B22" s="102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190">
        <f t="shared" si="0"/>
        <v>0</v>
      </c>
      <c r="J22" s="113">
        <f t="shared" si="1"/>
        <v>0</v>
      </c>
    </row>
    <row r="23" spans="1:10">
      <c r="A23" s="102" t="s">
        <v>129</v>
      </c>
      <c r="B23" s="102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190">
        <f t="shared" si="0"/>
        <v>0</v>
      </c>
      <c r="J23" s="113">
        <f t="shared" si="1"/>
        <v>0</v>
      </c>
    </row>
    <row r="24" spans="1:10">
      <c r="A24" s="102" t="s">
        <v>133</v>
      </c>
      <c r="B24" s="102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190">
        <f t="shared" si="0"/>
        <v>0</v>
      </c>
      <c r="J24" s="113">
        <f t="shared" si="1"/>
        <v>0</v>
      </c>
    </row>
    <row r="25" spans="1:10">
      <c r="A25" s="228" t="s">
        <v>201</v>
      </c>
      <c r="B25" s="228" t="s">
        <v>202</v>
      </c>
      <c r="C25" s="186">
        <v>661706621.27000046</v>
      </c>
      <c r="D25" s="186">
        <v>0</v>
      </c>
      <c r="E25" s="186">
        <v>601501142.14999998</v>
      </c>
      <c r="F25" s="186">
        <v>661706621.26999998</v>
      </c>
      <c r="G25" s="186">
        <v>601501142.15000045</v>
      </c>
      <c r="H25" s="186">
        <v>0</v>
      </c>
      <c r="I25" s="227">
        <f t="shared" si="0"/>
        <v>-60205479.120000005</v>
      </c>
      <c r="J25" s="113">
        <f t="shared" si="1"/>
        <v>0</v>
      </c>
    </row>
    <row r="26" spans="1:10">
      <c r="A26" s="230" t="s">
        <v>217</v>
      </c>
      <c r="B26" s="230" t="s">
        <v>218</v>
      </c>
      <c r="C26" s="186">
        <v>156711751</v>
      </c>
      <c r="D26" s="186">
        <v>0</v>
      </c>
      <c r="E26" s="186">
        <v>2987392</v>
      </c>
      <c r="F26" s="186">
        <v>0</v>
      </c>
      <c r="G26" s="186">
        <v>159699143</v>
      </c>
      <c r="H26" s="186">
        <v>0</v>
      </c>
      <c r="I26" s="231">
        <f t="shared" si="0"/>
        <v>2987392</v>
      </c>
      <c r="J26" s="113">
        <f t="shared" si="1"/>
        <v>0</v>
      </c>
    </row>
    <row r="27" spans="1:10">
      <c r="A27" s="230" t="s">
        <v>215</v>
      </c>
      <c r="B27" s="230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31">
        <f t="shared" si="0"/>
        <v>0</v>
      </c>
      <c r="J27" s="113">
        <f t="shared" si="1"/>
        <v>0</v>
      </c>
    </row>
    <row r="28" spans="1:10">
      <c r="A28" s="102" t="s">
        <v>159</v>
      </c>
      <c r="B28" s="102" t="s">
        <v>160</v>
      </c>
      <c r="C28" s="186">
        <v>2424171</v>
      </c>
      <c r="D28" s="186">
        <v>0</v>
      </c>
      <c r="E28" s="186">
        <v>438884262</v>
      </c>
      <c r="F28" s="186">
        <v>351065095</v>
      </c>
      <c r="G28" s="186">
        <v>90243338</v>
      </c>
      <c r="H28" s="186">
        <v>0</v>
      </c>
      <c r="I28" s="190">
        <f t="shared" si="0"/>
        <v>87819167</v>
      </c>
      <c r="J28" s="113">
        <f t="shared" si="1"/>
        <v>0</v>
      </c>
    </row>
    <row r="29" spans="1:10">
      <c r="A29" s="102" t="s">
        <v>162</v>
      </c>
      <c r="B29" s="102" t="s">
        <v>163</v>
      </c>
      <c r="C29" s="186">
        <v>139167192</v>
      </c>
      <c r="D29" s="186">
        <v>0</v>
      </c>
      <c r="E29" s="186">
        <v>3418288682</v>
      </c>
      <c r="F29" s="186">
        <v>3557455874</v>
      </c>
      <c r="G29" s="186">
        <v>0</v>
      </c>
      <c r="H29" s="186">
        <v>0</v>
      </c>
      <c r="I29" s="190">
        <f t="shared" si="0"/>
        <v>-139167192</v>
      </c>
      <c r="J29" s="113">
        <f t="shared" si="1"/>
        <v>0</v>
      </c>
    </row>
    <row r="30" spans="1:10">
      <c r="A30" s="228" t="s">
        <v>203</v>
      </c>
      <c r="B30" s="228" t="s">
        <v>204</v>
      </c>
      <c r="C30" s="186">
        <v>202038963.44</v>
      </c>
      <c r="D30" s="186">
        <v>0</v>
      </c>
      <c r="E30" s="186">
        <v>92656960</v>
      </c>
      <c r="F30" s="186">
        <v>0</v>
      </c>
      <c r="G30" s="186">
        <v>294695923.44</v>
      </c>
      <c r="H30" s="186">
        <v>0</v>
      </c>
      <c r="I30" s="227">
        <f t="shared" si="0"/>
        <v>92656960</v>
      </c>
      <c r="J30" s="113">
        <f t="shared" si="1"/>
        <v>0</v>
      </c>
    </row>
    <row r="31" spans="1:10">
      <c r="A31" s="226" t="s">
        <v>154</v>
      </c>
      <c r="B31" s="226" t="s">
        <v>155</v>
      </c>
      <c r="C31" s="186">
        <v>562031009.20999992</v>
      </c>
      <c r="D31" s="186">
        <v>0</v>
      </c>
      <c r="E31" s="186">
        <v>411223457.55000001</v>
      </c>
      <c r="F31" s="186">
        <v>0</v>
      </c>
      <c r="G31" s="186">
        <v>973254466.75999999</v>
      </c>
      <c r="H31" s="186">
        <v>0</v>
      </c>
      <c r="I31" s="225">
        <f t="shared" si="0"/>
        <v>411223457.55000007</v>
      </c>
      <c r="J31" s="113">
        <f t="shared" si="1"/>
        <v>0</v>
      </c>
    </row>
    <row r="32" spans="1:10">
      <c r="A32" s="226" t="s">
        <v>156</v>
      </c>
      <c r="B32" s="226" t="s">
        <v>157</v>
      </c>
      <c r="C32" s="186">
        <v>107914590.78999996</v>
      </c>
      <c r="D32" s="186">
        <v>0</v>
      </c>
      <c r="E32" s="186">
        <v>129943733.23999999</v>
      </c>
      <c r="F32" s="186">
        <v>107914590.79000001</v>
      </c>
      <c r="G32" s="186">
        <v>129943733.23999996</v>
      </c>
      <c r="H32" s="186">
        <v>0</v>
      </c>
      <c r="I32" s="225">
        <f t="shared" si="0"/>
        <v>22029142.450000003</v>
      </c>
      <c r="J32" s="113">
        <f t="shared" si="1"/>
        <v>0</v>
      </c>
    </row>
    <row r="33" spans="1:10">
      <c r="A33" s="230" t="s">
        <v>165</v>
      </c>
      <c r="B33" s="230" t="s">
        <v>166</v>
      </c>
      <c r="C33" s="186">
        <v>17217874</v>
      </c>
      <c r="D33" s="186">
        <v>0</v>
      </c>
      <c r="E33" s="186">
        <v>732473</v>
      </c>
      <c r="F33" s="186">
        <v>0</v>
      </c>
      <c r="G33" s="186">
        <v>17950347</v>
      </c>
      <c r="H33" s="186">
        <v>0</v>
      </c>
      <c r="I33" s="231">
        <f t="shared" si="0"/>
        <v>732473</v>
      </c>
      <c r="J33" s="113">
        <f t="shared" si="1"/>
        <v>0</v>
      </c>
    </row>
    <row r="34" spans="1:10">
      <c r="A34" s="230" t="s">
        <v>171</v>
      </c>
      <c r="B34" s="230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231">
        <f t="shared" si="0"/>
        <v>0</v>
      </c>
      <c r="J34" s="113">
        <f t="shared" si="1"/>
        <v>0</v>
      </c>
    </row>
    <row r="35" spans="1:10">
      <c r="A35" s="230" t="s">
        <v>167</v>
      </c>
      <c r="B35" s="230" t="s">
        <v>168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31">
        <f t="shared" si="0"/>
        <v>0</v>
      </c>
      <c r="J35" s="113">
        <f t="shared" si="1"/>
        <v>0</v>
      </c>
    </row>
    <row r="36" spans="1:10">
      <c r="A36" s="230" t="s">
        <v>169</v>
      </c>
      <c r="B36" s="230" t="s">
        <v>170</v>
      </c>
      <c r="C36" s="186">
        <v>0</v>
      </c>
      <c r="D36" s="186">
        <v>0</v>
      </c>
      <c r="E36" s="186">
        <v>12955000</v>
      </c>
      <c r="F36" s="186">
        <v>11000000</v>
      </c>
      <c r="G36" s="186">
        <v>1955000</v>
      </c>
      <c r="H36" s="186">
        <v>0</v>
      </c>
      <c r="I36" s="231">
        <f t="shared" si="0"/>
        <v>1955000</v>
      </c>
      <c r="J36" s="113">
        <f t="shared" si="1"/>
        <v>0</v>
      </c>
    </row>
    <row r="37" spans="1:10">
      <c r="A37" s="230" t="s">
        <v>210</v>
      </c>
      <c r="B37" s="230" t="s">
        <v>211</v>
      </c>
      <c r="C37" s="186">
        <v>388013464.36000013</v>
      </c>
      <c r="D37" s="186">
        <v>0</v>
      </c>
      <c r="E37" s="186">
        <v>0</v>
      </c>
      <c r="F37" s="186">
        <v>46124348.609999999</v>
      </c>
      <c r="G37" s="186">
        <v>341889115.75000018</v>
      </c>
      <c r="H37" s="186">
        <v>0</v>
      </c>
      <c r="I37" s="231">
        <f t="shared" si="0"/>
        <v>-46124348.609999955</v>
      </c>
      <c r="J37" s="113">
        <f t="shared" si="1"/>
        <v>0</v>
      </c>
    </row>
    <row r="38" spans="1:10">
      <c r="A38" s="230" t="s">
        <v>208</v>
      </c>
      <c r="B38" s="230" t="s">
        <v>209</v>
      </c>
      <c r="C38" s="186">
        <v>129916232.96999998</v>
      </c>
      <c r="D38" s="186">
        <v>0</v>
      </c>
      <c r="E38" s="186">
        <v>0</v>
      </c>
      <c r="F38" s="186">
        <v>11401881.550000001</v>
      </c>
      <c r="G38" s="186">
        <v>118514351.41999999</v>
      </c>
      <c r="H38" s="186">
        <v>0</v>
      </c>
      <c r="I38" s="231">
        <f t="shared" si="0"/>
        <v>-11401881.549999997</v>
      </c>
      <c r="J38" s="113">
        <f t="shared" si="1"/>
        <v>0</v>
      </c>
    </row>
    <row r="39" spans="1:10">
      <c r="A39" s="230" t="s">
        <v>206</v>
      </c>
      <c r="B39" s="230" t="s">
        <v>207</v>
      </c>
      <c r="C39" s="186">
        <v>5047912.099999994</v>
      </c>
      <c r="D39" s="186">
        <v>0</v>
      </c>
      <c r="E39" s="186">
        <v>0</v>
      </c>
      <c r="F39" s="186">
        <v>405041.1</v>
      </c>
      <c r="G39" s="186">
        <v>4642870.9999999944</v>
      </c>
      <c r="H39" s="186">
        <v>0</v>
      </c>
      <c r="I39" s="231">
        <f t="shared" si="0"/>
        <v>-405041.09999999963</v>
      </c>
      <c r="J39" s="113">
        <f t="shared" si="1"/>
        <v>0</v>
      </c>
    </row>
    <row r="40" spans="1:10">
      <c r="A40" s="230" t="s">
        <v>212</v>
      </c>
      <c r="B40" s="230" t="s">
        <v>213</v>
      </c>
      <c r="C40" s="186">
        <v>4862813.7100000009</v>
      </c>
      <c r="D40" s="186">
        <v>0</v>
      </c>
      <c r="E40" s="186">
        <v>0</v>
      </c>
      <c r="F40" s="186">
        <v>874213.7</v>
      </c>
      <c r="G40" s="186">
        <v>3988600.0100000012</v>
      </c>
      <c r="H40" s="186">
        <v>0</v>
      </c>
      <c r="I40" s="231">
        <f t="shared" si="0"/>
        <v>-874213.69999999972</v>
      </c>
      <c r="J40" s="113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6900000</v>
      </c>
      <c r="G41" s="186">
        <v>300878050.00999999</v>
      </c>
      <c r="H41" s="186">
        <v>0</v>
      </c>
      <c r="I41" s="190">
        <f t="shared" si="0"/>
        <v>-6900000</v>
      </c>
      <c r="J41" s="113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190">
        <f t="shared" si="0"/>
        <v>0</v>
      </c>
      <c r="J42" s="113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4840000</v>
      </c>
      <c r="F43" s="186">
        <v>0</v>
      </c>
      <c r="G43" s="186">
        <v>1552512051.8699999</v>
      </c>
      <c r="H43" s="186">
        <v>0</v>
      </c>
      <c r="I43" s="190">
        <f t="shared" si="0"/>
        <v>4840000</v>
      </c>
      <c r="J43" s="113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0</v>
      </c>
      <c r="F44" s="186">
        <v>0</v>
      </c>
      <c r="G44" s="186">
        <v>649742024.07000005</v>
      </c>
      <c r="H44" s="186">
        <v>0</v>
      </c>
      <c r="I44" s="190">
        <f t="shared" si="0"/>
        <v>0</v>
      </c>
      <c r="J44" s="113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190">
        <f t="shared" si="0"/>
        <v>0</v>
      </c>
      <c r="J45" s="113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190">
        <f t="shared" si="0"/>
        <v>0</v>
      </c>
      <c r="J46" s="113">
        <f t="shared" si="1"/>
        <v>0</v>
      </c>
    </row>
    <row r="47" spans="1:10" s="224" customFormat="1">
      <c r="A47" s="221" t="s">
        <v>198</v>
      </c>
      <c r="B47" s="221" t="s">
        <v>199</v>
      </c>
      <c r="C47" s="210">
        <v>0</v>
      </c>
      <c r="D47" s="210">
        <v>64549301.590000004</v>
      </c>
      <c r="E47" s="210">
        <v>6900000</v>
      </c>
      <c r="F47" s="210">
        <v>4613683.1300000008</v>
      </c>
      <c r="G47" s="210">
        <v>0</v>
      </c>
      <c r="H47" s="210">
        <v>62262984.719999999</v>
      </c>
      <c r="I47" s="223">
        <f t="shared" si="0"/>
        <v>0</v>
      </c>
      <c r="J47" s="222">
        <f t="shared" si="1"/>
        <v>-2286316.8700000048</v>
      </c>
    </row>
    <row r="48" spans="1:10" s="224" customFormat="1">
      <c r="A48" s="221" t="s">
        <v>196</v>
      </c>
      <c r="B48" s="221" t="s">
        <v>197</v>
      </c>
      <c r="C48" s="210">
        <v>0</v>
      </c>
      <c r="D48" s="210">
        <v>254884032.20000005</v>
      </c>
      <c r="E48" s="210">
        <v>0</v>
      </c>
      <c r="F48" s="210">
        <v>9664260.5399999991</v>
      </c>
      <c r="G48" s="210">
        <v>0</v>
      </c>
      <c r="H48" s="210">
        <v>264548292.74000004</v>
      </c>
      <c r="I48" s="223">
        <f t="shared" si="0"/>
        <v>0</v>
      </c>
      <c r="J48" s="222">
        <f t="shared" si="1"/>
        <v>9664260.5399999917</v>
      </c>
    </row>
    <row r="49" spans="1:10" s="224" customFormat="1">
      <c r="A49" s="221" t="s">
        <v>190</v>
      </c>
      <c r="B49" s="221" t="s">
        <v>191</v>
      </c>
      <c r="C49" s="210">
        <v>0</v>
      </c>
      <c r="D49" s="210">
        <v>319581968.57999998</v>
      </c>
      <c r="E49" s="210">
        <v>0</v>
      </c>
      <c r="F49" s="210">
        <v>11862811.82</v>
      </c>
      <c r="G49" s="210">
        <v>0</v>
      </c>
      <c r="H49" s="210">
        <v>331444780.39999998</v>
      </c>
      <c r="I49" s="223">
        <f t="shared" si="0"/>
        <v>0</v>
      </c>
      <c r="J49" s="222">
        <f t="shared" si="1"/>
        <v>11862811.819999993</v>
      </c>
    </row>
    <row r="50" spans="1:10" s="224" customFormat="1">
      <c r="A50" s="221" t="s">
        <v>188</v>
      </c>
      <c r="B50" s="221" t="s">
        <v>189</v>
      </c>
      <c r="C50" s="210">
        <v>0</v>
      </c>
      <c r="D50" s="210">
        <v>118266743.88999996</v>
      </c>
      <c r="E50" s="210">
        <v>0</v>
      </c>
      <c r="F50" s="210">
        <v>4980316.4399999995</v>
      </c>
      <c r="G50" s="210">
        <v>0</v>
      </c>
      <c r="H50" s="210">
        <v>123247060.32999997</v>
      </c>
      <c r="I50" s="223">
        <f t="shared" si="0"/>
        <v>0</v>
      </c>
      <c r="J50" s="222">
        <f t="shared" si="1"/>
        <v>4980316.4400000125</v>
      </c>
    </row>
    <row r="51" spans="1:10" s="224" customFormat="1">
      <c r="A51" s="221" t="s">
        <v>194</v>
      </c>
      <c r="B51" s="221" t="s">
        <v>195</v>
      </c>
      <c r="C51" s="210">
        <v>0</v>
      </c>
      <c r="D51" s="210">
        <v>21407536.150000002</v>
      </c>
      <c r="E51" s="210">
        <v>0</v>
      </c>
      <c r="F51" s="210">
        <v>1045006.44</v>
      </c>
      <c r="G51" s="210">
        <v>0</v>
      </c>
      <c r="H51" s="210">
        <v>22452542.59</v>
      </c>
      <c r="I51" s="223">
        <f t="shared" si="0"/>
        <v>0</v>
      </c>
      <c r="J51" s="222">
        <f t="shared" si="1"/>
        <v>1045006.4399999976</v>
      </c>
    </row>
    <row r="52" spans="1:10" s="224" customFormat="1">
      <c r="A52" s="221" t="s">
        <v>192</v>
      </c>
      <c r="B52" s="221" t="s">
        <v>193</v>
      </c>
      <c r="C52" s="210">
        <v>0</v>
      </c>
      <c r="D52" s="210">
        <v>76637500.670000017</v>
      </c>
      <c r="E52" s="210">
        <v>0</v>
      </c>
      <c r="F52" s="210">
        <v>2921044.51</v>
      </c>
      <c r="G52" s="210">
        <v>0</v>
      </c>
      <c r="H52" s="210">
        <v>79558545.180000022</v>
      </c>
      <c r="I52" s="223">
        <f t="shared" si="0"/>
        <v>0</v>
      </c>
      <c r="J52" s="222">
        <f t="shared" si="1"/>
        <v>2921044.5100000054</v>
      </c>
    </row>
    <row r="53" spans="1:10">
      <c r="A53" s="102" t="s">
        <v>227</v>
      </c>
      <c r="B53" s="102" t="s">
        <v>228</v>
      </c>
      <c r="C53" s="186">
        <v>0</v>
      </c>
      <c r="D53" s="186">
        <v>831064</v>
      </c>
      <c r="E53" s="186">
        <v>442148246</v>
      </c>
      <c r="F53" s="186">
        <v>526507316</v>
      </c>
      <c r="G53" s="186">
        <v>0</v>
      </c>
      <c r="H53" s="186">
        <v>85190134</v>
      </c>
      <c r="I53" s="190">
        <f t="shared" si="0"/>
        <v>0</v>
      </c>
      <c r="J53" s="113">
        <f t="shared" si="1"/>
        <v>84359070</v>
      </c>
    </row>
    <row r="54" spans="1:10">
      <c r="A54" s="102" t="s">
        <v>222</v>
      </c>
      <c r="B54" s="102" t="s">
        <v>223</v>
      </c>
      <c r="C54" s="186">
        <v>0</v>
      </c>
      <c r="D54" s="186">
        <v>138535668</v>
      </c>
      <c r="E54" s="186">
        <v>3780284420</v>
      </c>
      <c r="F54" s="186">
        <v>3641748752</v>
      </c>
      <c r="G54" s="186">
        <v>0</v>
      </c>
      <c r="H54" s="186">
        <v>0</v>
      </c>
      <c r="I54" s="190">
        <f t="shared" si="0"/>
        <v>0</v>
      </c>
      <c r="J54" s="113">
        <f t="shared" si="1"/>
        <v>-138535668</v>
      </c>
    </row>
    <row r="55" spans="1:10">
      <c r="A55" s="102" t="s">
        <v>224</v>
      </c>
      <c r="B55" s="102" t="s">
        <v>225</v>
      </c>
      <c r="C55" s="186">
        <v>0</v>
      </c>
      <c r="D55" s="186">
        <v>43553618820</v>
      </c>
      <c r="E55" s="186">
        <v>22424890783</v>
      </c>
      <c r="F55" s="186">
        <v>14707025363</v>
      </c>
      <c r="G55" s="186">
        <v>0</v>
      </c>
      <c r="H55" s="186">
        <v>35835753400</v>
      </c>
      <c r="I55" s="190">
        <f t="shared" si="0"/>
        <v>0</v>
      </c>
      <c r="J55" s="113">
        <f t="shared" si="1"/>
        <v>-7717865420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190">
        <f t="shared" si="0"/>
        <v>0</v>
      </c>
      <c r="J56" s="113">
        <f t="shared" si="1"/>
        <v>0</v>
      </c>
    </row>
    <row r="57" spans="1:10">
      <c r="A57" s="102" t="s">
        <v>220</v>
      </c>
      <c r="B57" s="102" t="s">
        <v>221</v>
      </c>
      <c r="C57" s="186">
        <v>1.3425946235656738E-5</v>
      </c>
      <c r="D57" s="186">
        <v>0</v>
      </c>
      <c r="E57" s="186">
        <v>0</v>
      </c>
      <c r="F57" s="186">
        <v>0</v>
      </c>
      <c r="G57" s="186">
        <v>1.3425946235656738E-5</v>
      </c>
      <c r="H57" s="186">
        <v>0</v>
      </c>
      <c r="I57" s="190">
        <f t="shared" si="0"/>
        <v>0</v>
      </c>
      <c r="J57" s="113">
        <f t="shared" si="1"/>
        <v>0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1455561594.02</v>
      </c>
      <c r="F58" s="186">
        <v>0</v>
      </c>
      <c r="G58" s="186">
        <v>0</v>
      </c>
      <c r="H58" s="186">
        <v>0</v>
      </c>
      <c r="I58" s="190">
        <f t="shared" si="0"/>
        <v>0</v>
      </c>
      <c r="J58" s="113">
        <f>+H58-D58</f>
        <v>-1455561594.02</v>
      </c>
    </row>
    <row r="59" spans="1:10">
      <c r="A59" s="102" t="s">
        <v>233</v>
      </c>
      <c r="B59" s="102" t="s">
        <v>292</v>
      </c>
      <c r="C59" s="186">
        <v>9.5367431640625E-7</v>
      </c>
      <c r="D59" s="186">
        <v>0</v>
      </c>
      <c r="E59" s="186">
        <v>0</v>
      </c>
      <c r="F59" s="186">
        <v>8423360</v>
      </c>
      <c r="G59" s="186">
        <v>0</v>
      </c>
      <c r="H59" s="186">
        <v>8423359.9999990463</v>
      </c>
      <c r="I59" s="190">
        <f t="shared" si="0"/>
        <v>-9.5367431640625E-7</v>
      </c>
      <c r="J59" s="113">
        <f t="shared" si="1"/>
        <v>8423359.9999990463</v>
      </c>
    </row>
    <row r="60" spans="1:10">
      <c r="A60" s="102" t="s">
        <v>235</v>
      </c>
      <c r="B60" s="102" t="s">
        <v>236</v>
      </c>
      <c r="C60" s="186">
        <v>0</v>
      </c>
      <c r="D60" s="186">
        <v>0</v>
      </c>
      <c r="E60" s="186">
        <v>0</v>
      </c>
      <c r="F60" s="186">
        <v>0</v>
      </c>
      <c r="G60" s="186">
        <v>0</v>
      </c>
      <c r="H60" s="186">
        <v>0</v>
      </c>
      <c r="I60" s="190">
        <f t="shared" si="0"/>
        <v>0</v>
      </c>
      <c r="J60" s="113">
        <f t="shared" si="1"/>
        <v>0</v>
      </c>
    </row>
    <row r="61" spans="1:10">
      <c r="A61" s="102" t="s">
        <v>237</v>
      </c>
      <c r="B61" s="102" t="s">
        <v>238</v>
      </c>
      <c r="C61" s="186">
        <v>0</v>
      </c>
      <c r="D61" s="186">
        <v>25923363.889999986</v>
      </c>
      <c r="E61" s="186">
        <v>25923365</v>
      </c>
      <c r="F61" s="186">
        <v>12550601</v>
      </c>
      <c r="G61" s="186">
        <v>0</v>
      </c>
      <c r="H61" s="186">
        <v>12550599.889999986</v>
      </c>
      <c r="I61" s="190">
        <f t="shared" si="0"/>
        <v>0</v>
      </c>
      <c r="J61" s="113">
        <f t="shared" si="1"/>
        <v>-13372764</v>
      </c>
    </row>
    <row r="62" spans="1:10">
      <c r="A62" s="102" t="s">
        <v>250</v>
      </c>
      <c r="B62" s="102" t="s">
        <v>251</v>
      </c>
      <c r="C62" s="186">
        <v>0</v>
      </c>
      <c r="D62" s="186">
        <v>128061888.00000001</v>
      </c>
      <c r="E62" s="186">
        <v>43817788</v>
      </c>
      <c r="F62" s="186">
        <v>45100896.979999997</v>
      </c>
      <c r="G62" s="186">
        <v>0</v>
      </c>
      <c r="H62" s="186">
        <v>129344996.98</v>
      </c>
      <c r="I62" s="190">
        <f t="shared" si="0"/>
        <v>0</v>
      </c>
      <c r="J62" s="113">
        <f t="shared" si="1"/>
        <v>1283108.9799999893</v>
      </c>
    </row>
    <row r="63" spans="1:10">
      <c r="A63" s="102" t="s">
        <v>240</v>
      </c>
      <c r="B63" s="102" t="s">
        <v>241</v>
      </c>
      <c r="C63" s="186">
        <v>0</v>
      </c>
      <c r="D63" s="186">
        <v>21158280</v>
      </c>
      <c r="E63" s="186">
        <v>21158280</v>
      </c>
      <c r="F63" s="186">
        <v>21035391</v>
      </c>
      <c r="G63" s="186">
        <v>0</v>
      </c>
      <c r="H63" s="186">
        <v>21035391</v>
      </c>
      <c r="I63" s="190">
        <f t="shared" si="0"/>
        <v>0</v>
      </c>
      <c r="J63" s="113">
        <f t="shared" si="1"/>
        <v>-122889</v>
      </c>
    </row>
    <row r="64" spans="1:10">
      <c r="A64" s="102" t="s">
        <v>244</v>
      </c>
      <c r="B64" s="102" t="s">
        <v>245</v>
      </c>
      <c r="C64" s="186">
        <v>0</v>
      </c>
      <c r="D64" s="186">
        <v>2566080</v>
      </c>
      <c r="E64" s="186">
        <v>2566080</v>
      </c>
      <c r="F64" s="186">
        <v>2551176</v>
      </c>
      <c r="G64" s="186">
        <v>0</v>
      </c>
      <c r="H64" s="186">
        <v>2551176</v>
      </c>
      <c r="I64" s="190">
        <f t="shared" si="0"/>
        <v>0</v>
      </c>
      <c r="J64" s="113">
        <f t="shared" si="1"/>
        <v>-14904</v>
      </c>
    </row>
    <row r="65" spans="1:10">
      <c r="A65" s="102" t="s">
        <v>248</v>
      </c>
      <c r="B65" s="102" t="s">
        <v>249</v>
      </c>
      <c r="C65" s="186">
        <v>0</v>
      </c>
      <c r="D65" s="186">
        <v>430274639.99999994</v>
      </c>
      <c r="E65" s="186">
        <v>0</v>
      </c>
      <c r="F65" s="186">
        <v>51023520</v>
      </c>
      <c r="G65" s="186">
        <v>0</v>
      </c>
      <c r="H65" s="186">
        <v>481298159.99999994</v>
      </c>
      <c r="I65" s="190">
        <f t="shared" si="0"/>
        <v>0</v>
      </c>
      <c r="J65" s="113">
        <f t="shared" si="1"/>
        <v>51023520</v>
      </c>
    </row>
    <row r="66" spans="1:10">
      <c r="A66" s="102" t="s">
        <v>252</v>
      </c>
      <c r="B66" s="102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186">
        <v>0</v>
      </c>
      <c r="I66" s="190">
        <f t="shared" si="0"/>
        <v>0</v>
      </c>
      <c r="J66" s="113">
        <f t="shared" si="1"/>
        <v>0</v>
      </c>
    </row>
    <row r="67" spans="1:10">
      <c r="A67" s="102" t="s">
        <v>242</v>
      </c>
      <c r="B67" s="102" t="s">
        <v>243</v>
      </c>
      <c r="C67" s="186">
        <v>0</v>
      </c>
      <c r="D67" s="186">
        <v>14237600</v>
      </c>
      <c r="E67" s="186">
        <v>14237600</v>
      </c>
      <c r="F67" s="186">
        <v>7236220</v>
      </c>
      <c r="G67" s="186">
        <v>0</v>
      </c>
      <c r="H67" s="186">
        <v>7236220</v>
      </c>
      <c r="I67" s="190">
        <f t="shared" si="0"/>
        <v>0</v>
      </c>
      <c r="J67" s="113">
        <f t="shared" si="1"/>
        <v>-7001380</v>
      </c>
    </row>
    <row r="68" spans="1:10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190">
        <f t="shared" si="0"/>
        <v>0</v>
      </c>
      <c r="J68" s="113">
        <f t="shared" si="1"/>
        <v>0</v>
      </c>
    </row>
    <row r="69" spans="1:10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190">
        <f t="shared" si="0"/>
        <v>0</v>
      </c>
      <c r="J69" s="113">
        <f t="shared" si="1"/>
        <v>0</v>
      </c>
    </row>
    <row r="70" spans="1:10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27040033.18</v>
      </c>
      <c r="F70" s="186">
        <v>0</v>
      </c>
      <c r="G70" s="186">
        <v>0</v>
      </c>
      <c r="H70" s="186">
        <v>0</v>
      </c>
      <c r="I70" s="190">
        <f t="shared" ref="I70:I74" si="2">+G70-C70</f>
        <v>0</v>
      </c>
      <c r="J70" s="113">
        <f t="shared" ref="J70:J74" si="3">+H70-D70</f>
        <v>-27040033.18</v>
      </c>
    </row>
    <row r="71" spans="1:10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190">
        <f t="shared" si="2"/>
        <v>0</v>
      </c>
      <c r="J71" s="113">
        <f t="shared" si="3"/>
        <v>0</v>
      </c>
    </row>
    <row r="72" spans="1:10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190">
        <f t="shared" si="2"/>
        <v>0</v>
      </c>
      <c r="J72" s="113">
        <f t="shared" si="3"/>
        <v>0</v>
      </c>
    </row>
    <row r="73" spans="1:10">
      <c r="A73" s="102" t="s">
        <v>263</v>
      </c>
      <c r="B73" s="102" t="s">
        <v>264</v>
      </c>
      <c r="C73" s="186">
        <v>0</v>
      </c>
      <c r="D73" s="186">
        <v>0</v>
      </c>
      <c r="E73" s="186">
        <v>0</v>
      </c>
      <c r="F73" s="186">
        <v>0</v>
      </c>
      <c r="G73" s="186">
        <v>0</v>
      </c>
      <c r="H73" s="186">
        <v>0</v>
      </c>
      <c r="I73" s="190">
        <f t="shared" si="2"/>
        <v>0</v>
      </c>
      <c r="J73" s="113">
        <f t="shared" si="3"/>
        <v>0</v>
      </c>
    </row>
    <row r="74" spans="1:10">
      <c r="A74" s="102" t="s">
        <v>627</v>
      </c>
      <c r="B74" s="102" t="s">
        <v>628</v>
      </c>
      <c r="C74" s="186">
        <v>0</v>
      </c>
      <c r="D74" s="186">
        <v>3764215550.0900002</v>
      </c>
      <c r="E74" s="186">
        <v>0</v>
      </c>
      <c r="F74" s="186">
        <v>0</v>
      </c>
      <c r="G74" s="186">
        <v>0</v>
      </c>
      <c r="H74" s="186">
        <v>3764215550.0900002</v>
      </c>
      <c r="I74" s="190">
        <f t="shared" si="2"/>
        <v>0</v>
      </c>
      <c r="J74" s="113">
        <f t="shared" si="3"/>
        <v>0</v>
      </c>
    </row>
    <row r="75" spans="1:10">
      <c r="A75" s="102"/>
      <c r="B75" s="102"/>
      <c r="C75" s="186">
        <f>SUM(C5:C74)</f>
        <v>151143805584.92001</v>
      </c>
      <c r="D75" s="186">
        <f t="shared" ref="D75:H75" si="4">SUM(D5:D74)</f>
        <v>150899882119.72</v>
      </c>
      <c r="E75" s="186">
        <f t="shared" si="4"/>
        <v>52954219288.729996</v>
      </c>
      <c r="F75" s="186">
        <f t="shared" si="4"/>
        <v>52569874060.290001</v>
      </c>
      <c r="G75" s="186">
        <f t="shared" si="4"/>
        <v>142341912343.02005</v>
      </c>
      <c r="H75" s="186">
        <f t="shared" si="4"/>
        <v>141713643649.38</v>
      </c>
      <c r="I75" s="190">
        <f>SUM(I5:I74)</f>
        <v>-8801893241.9000053</v>
      </c>
      <c r="J75" s="113">
        <f>SUM(J5:J74)</f>
        <v>-9186238470.3400002</v>
      </c>
    </row>
    <row r="76" spans="1:10" s="188" customFormat="1">
      <c r="A76" s="176"/>
      <c r="B76" s="176"/>
      <c r="C76" s="177"/>
      <c r="D76" s="177">
        <f>+C75-D75</f>
        <v>243923465.20001221</v>
      </c>
      <c r="E76" s="177"/>
      <c r="F76" s="193">
        <f>+E75-F75</f>
        <v>384345228.43999481</v>
      </c>
      <c r="G76" s="177"/>
      <c r="H76" s="177">
        <f>+G75-H75</f>
        <v>628268693.64004517</v>
      </c>
      <c r="J76" s="192">
        <f>+I75-J75</f>
        <v>384345228.43999481</v>
      </c>
    </row>
    <row r="77" spans="1:10">
      <c r="A77" s="102"/>
      <c r="B77" s="102"/>
      <c r="C77" s="186"/>
      <c r="D77" s="186"/>
      <c r="E77" s="186"/>
      <c r="F77" s="186"/>
      <c r="G77" s="186"/>
      <c r="H77" s="186"/>
    </row>
    <row r="78" spans="1:10">
      <c r="A78" s="102"/>
      <c r="B78" s="102"/>
      <c r="C78" s="186"/>
      <c r="D78" s="186"/>
      <c r="E78" s="186"/>
      <c r="F78" s="186"/>
      <c r="G78" s="186"/>
      <c r="H78" s="186"/>
    </row>
    <row r="79" spans="1:10">
      <c r="A79" s="185"/>
      <c r="B79" s="185"/>
      <c r="C79" s="184" t="s">
        <v>272</v>
      </c>
      <c r="D79" s="184" t="s">
        <v>273</v>
      </c>
      <c r="E79" s="184" t="s">
        <v>272</v>
      </c>
      <c r="F79" s="184" t="s">
        <v>273</v>
      </c>
      <c r="G79" s="184" t="s">
        <v>272</v>
      </c>
      <c r="H79" s="184" t="s">
        <v>273</v>
      </c>
      <c r="I79" s="199" t="s">
        <v>640</v>
      </c>
    </row>
    <row r="80" spans="1:10">
      <c r="A80" s="102" t="s">
        <v>297</v>
      </c>
      <c r="B80" s="102" t="s">
        <v>298</v>
      </c>
      <c r="C80" s="186">
        <v>21158280</v>
      </c>
      <c r="D80" s="186">
        <v>0</v>
      </c>
      <c r="E80" s="186">
        <v>21035391</v>
      </c>
      <c r="F80" s="186">
        <v>0</v>
      </c>
      <c r="G80" s="186">
        <v>42193671</v>
      </c>
      <c r="H80" s="186">
        <v>0</v>
      </c>
      <c r="I80" s="190">
        <f>+F80-E80</f>
        <v>-21035391</v>
      </c>
    </row>
    <row r="81" spans="1:9">
      <c r="A81" s="102" t="s">
        <v>299</v>
      </c>
      <c r="B81" s="102" t="s">
        <v>300</v>
      </c>
      <c r="C81" s="186">
        <v>2566080</v>
      </c>
      <c r="D81" s="186">
        <v>0</v>
      </c>
      <c r="E81" s="186">
        <v>2551176</v>
      </c>
      <c r="F81" s="186">
        <v>0</v>
      </c>
      <c r="G81" s="186">
        <v>5117256</v>
      </c>
      <c r="H81" s="186">
        <v>0</v>
      </c>
      <c r="I81" s="190">
        <f t="shared" ref="I81:I139" si="5">+F81-E81</f>
        <v>-2551176</v>
      </c>
    </row>
    <row r="82" spans="1:9">
      <c r="A82" s="102" t="s">
        <v>301</v>
      </c>
      <c r="B82" s="102" t="s">
        <v>302</v>
      </c>
      <c r="C82" s="186">
        <v>369951.21</v>
      </c>
      <c r="D82" s="186">
        <v>0</v>
      </c>
      <c r="E82" s="186">
        <v>226048</v>
      </c>
      <c r="F82" s="186">
        <v>0</v>
      </c>
      <c r="G82" s="186">
        <v>595999.21</v>
      </c>
      <c r="H82" s="186">
        <v>0</v>
      </c>
      <c r="I82" s="190">
        <f t="shared" si="5"/>
        <v>-226048</v>
      </c>
    </row>
    <row r="83" spans="1:9">
      <c r="A83" s="102" t="s">
        <v>303</v>
      </c>
      <c r="B83" s="102" t="s">
        <v>304</v>
      </c>
      <c r="C83" s="186">
        <v>159159677</v>
      </c>
      <c r="D83" s="186">
        <v>0</v>
      </c>
      <c r="E83" s="186">
        <v>156450000</v>
      </c>
      <c r="F83" s="186">
        <v>0</v>
      </c>
      <c r="G83" s="186">
        <v>315609677</v>
      </c>
      <c r="H83" s="186">
        <v>0</v>
      </c>
      <c r="I83" s="190">
        <f t="shared" si="5"/>
        <v>-156450000</v>
      </c>
    </row>
    <row r="84" spans="1:9">
      <c r="A84" s="102" t="s">
        <v>307</v>
      </c>
      <c r="B84" s="102" t="s">
        <v>308</v>
      </c>
      <c r="C84" s="186">
        <v>47351378</v>
      </c>
      <c r="D84" s="186">
        <v>0</v>
      </c>
      <c r="E84" s="186">
        <v>2451289</v>
      </c>
      <c r="F84" s="186">
        <v>0</v>
      </c>
      <c r="G84" s="186">
        <v>49802667</v>
      </c>
      <c r="H84" s="186">
        <v>0</v>
      </c>
      <c r="I84" s="190">
        <f t="shared" si="5"/>
        <v>-2451289</v>
      </c>
    </row>
    <row r="85" spans="1:9">
      <c r="A85" s="102" t="s">
        <v>311</v>
      </c>
      <c r="B85" s="102" t="s">
        <v>312</v>
      </c>
      <c r="C85" s="186">
        <v>10198798.5</v>
      </c>
      <c r="D85" s="186">
        <v>0</v>
      </c>
      <c r="E85" s="186">
        <v>9729001.1000000015</v>
      </c>
      <c r="F85" s="186">
        <v>0</v>
      </c>
      <c r="G85" s="186">
        <v>19927799.600000001</v>
      </c>
      <c r="H85" s="186">
        <v>0</v>
      </c>
      <c r="I85" s="190">
        <f t="shared" si="5"/>
        <v>-9729001.1000000015</v>
      </c>
    </row>
    <row r="86" spans="1:9">
      <c r="A86" s="102" t="s">
        <v>315</v>
      </c>
      <c r="B86" s="102" t="s">
        <v>316</v>
      </c>
      <c r="C86" s="186">
        <v>17283871</v>
      </c>
      <c r="D86" s="186">
        <v>0</v>
      </c>
      <c r="E86" s="186">
        <v>16800000</v>
      </c>
      <c r="F86" s="186">
        <v>0</v>
      </c>
      <c r="G86" s="186">
        <v>34083871</v>
      </c>
      <c r="H86" s="186">
        <v>0</v>
      </c>
      <c r="I86" s="190">
        <f t="shared" si="5"/>
        <v>-16800000</v>
      </c>
    </row>
    <row r="87" spans="1:9">
      <c r="A87" s="102" t="s">
        <v>317</v>
      </c>
      <c r="B87" s="102" t="s">
        <v>318</v>
      </c>
      <c r="C87" s="186">
        <v>14000000</v>
      </c>
      <c r="D87" s="186">
        <v>0</v>
      </c>
      <c r="E87" s="186">
        <v>0</v>
      </c>
      <c r="F87" s="186">
        <v>0</v>
      </c>
      <c r="G87" s="186">
        <v>14000000</v>
      </c>
      <c r="H87" s="186">
        <v>0</v>
      </c>
      <c r="I87" s="190">
        <f t="shared" si="5"/>
        <v>0</v>
      </c>
    </row>
    <row r="88" spans="1:9">
      <c r="A88" s="102" t="s">
        <v>319</v>
      </c>
      <c r="B88" s="102" t="s">
        <v>320</v>
      </c>
      <c r="C88" s="186">
        <v>10736842</v>
      </c>
      <c r="D88" s="186">
        <v>0</v>
      </c>
      <c r="E88" s="186">
        <v>0</v>
      </c>
      <c r="F88" s="186">
        <v>0</v>
      </c>
      <c r="G88" s="186">
        <v>10736842</v>
      </c>
      <c r="H88" s="186">
        <v>0</v>
      </c>
      <c r="I88" s="190">
        <f t="shared" si="5"/>
        <v>0</v>
      </c>
    </row>
    <row r="89" spans="1:9">
      <c r="A89" s="102" t="s">
        <v>321</v>
      </c>
      <c r="B89" s="102" t="s">
        <v>322</v>
      </c>
      <c r="C89" s="186">
        <v>5000000</v>
      </c>
      <c r="D89" s="186">
        <v>0</v>
      </c>
      <c r="E89" s="186">
        <v>0</v>
      </c>
      <c r="F89" s="186">
        <v>0</v>
      </c>
      <c r="G89" s="186">
        <v>5000000</v>
      </c>
      <c r="H89" s="186">
        <v>0</v>
      </c>
      <c r="I89" s="190">
        <f t="shared" si="5"/>
        <v>0</v>
      </c>
    </row>
    <row r="90" spans="1:9">
      <c r="A90" s="102" t="s">
        <v>327</v>
      </c>
      <c r="B90" s="102" t="s">
        <v>328</v>
      </c>
      <c r="C90" s="186">
        <v>0</v>
      </c>
      <c r="D90" s="186">
        <v>0</v>
      </c>
      <c r="E90" s="186">
        <v>500000</v>
      </c>
      <c r="F90" s="186">
        <v>0</v>
      </c>
      <c r="G90" s="186">
        <v>500000</v>
      </c>
      <c r="H90" s="186">
        <v>0</v>
      </c>
      <c r="I90" s="190">
        <f t="shared" si="5"/>
        <v>-500000</v>
      </c>
    </row>
    <row r="91" spans="1:9">
      <c r="A91" s="102" t="s">
        <v>329</v>
      </c>
      <c r="B91" s="102" t="s">
        <v>330</v>
      </c>
      <c r="C91" s="186">
        <v>4087400</v>
      </c>
      <c r="D91" s="186">
        <v>0</v>
      </c>
      <c r="E91" s="186">
        <v>0</v>
      </c>
      <c r="F91" s="186">
        <v>0</v>
      </c>
      <c r="G91" s="186">
        <v>4087400</v>
      </c>
      <c r="H91" s="186">
        <v>0</v>
      </c>
      <c r="I91" s="190">
        <f t="shared" si="5"/>
        <v>0</v>
      </c>
    </row>
    <row r="92" spans="1:9">
      <c r="A92" s="102" t="s">
        <v>331</v>
      </c>
      <c r="B92" s="102" t="s">
        <v>332</v>
      </c>
      <c r="C92" s="186">
        <v>2752000</v>
      </c>
      <c r="D92" s="186">
        <v>0</v>
      </c>
      <c r="E92" s="186">
        <v>1644000</v>
      </c>
      <c r="F92" s="186">
        <v>0</v>
      </c>
      <c r="G92" s="186">
        <v>4396000</v>
      </c>
      <c r="H92" s="186">
        <v>0</v>
      </c>
      <c r="I92" s="190">
        <f t="shared" si="5"/>
        <v>-1644000</v>
      </c>
    </row>
    <row r="93" spans="1:9">
      <c r="A93" s="102" t="s">
        <v>333</v>
      </c>
      <c r="B93" s="102" t="s">
        <v>334</v>
      </c>
      <c r="C93" s="186">
        <v>3000000</v>
      </c>
      <c r="D93" s="186">
        <v>0</v>
      </c>
      <c r="E93" s="186">
        <v>3000000</v>
      </c>
      <c r="F93" s="186">
        <v>0</v>
      </c>
      <c r="G93" s="186">
        <v>6000000</v>
      </c>
      <c r="H93" s="186">
        <v>0</v>
      </c>
      <c r="I93" s="190">
        <f t="shared" si="5"/>
        <v>-3000000</v>
      </c>
    </row>
    <row r="94" spans="1:9">
      <c r="A94" s="102" t="s">
        <v>341</v>
      </c>
      <c r="B94" s="102" t="s">
        <v>342</v>
      </c>
      <c r="C94" s="186">
        <v>41127429.100000001</v>
      </c>
      <c r="D94" s="186">
        <v>0</v>
      </c>
      <c r="E94" s="186">
        <v>37155739.189999998</v>
      </c>
      <c r="F94" s="186">
        <v>0</v>
      </c>
      <c r="G94" s="186">
        <v>78283168.290000007</v>
      </c>
      <c r="H94" s="186">
        <v>0</v>
      </c>
      <c r="I94" s="190">
        <f t="shared" si="5"/>
        <v>-37155739.189999998</v>
      </c>
    </row>
    <row r="95" spans="1:9">
      <c r="A95" s="102" t="s">
        <v>343</v>
      </c>
      <c r="B95" s="102" t="s">
        <v>344</v>
      </c>
      <c r="C95" s="186">
        <v>14000</v>
      </c>
      <c r="D95" s="186">
        <v>0</v>
      </c>
      <c r="E95" s="186">
        <v>41000</v>
      </c>
      <c r="F95" s="186">
        <v>0</v>
      </c>
      <c r="G95" s="186">
        <v>55000</v>
      </c>
      <c r="H95" s="186">
        <v>0</v>
      </c>
      <c r="I95" s="190">
        <f t="shared" si="5"/>
        <v>-41000</v>
      </c>
    </row>
    <row r="96" spans="1:9">
      <c r="A96" s="102" t="s">
        <v>345</v>
      </c>
      <c r="B96" s="102" t="s">
        <v>346</v>
      </c>
      <c r="C96" s="186">
        <v>960000</v>
      </c>
      <c r="D96" s="186">
        <v>0</v>
      </c>
      <c r="E96" s="186">
        <v>0</v>
      </c>
      <c r="F96" s="186">
        <v>0</v>
      </c>
      <c r="G96" s="186">
        <v>960000</v>
      </c>
      <c r="H96" s="186">
        <v>0</v>
      </c>
      <c r="I96" s="190">
        <f t="shared" si="5"/>
        <v>0</v>
      </c>
    </row>
    <row r="97" spans="1:9">
      <c r="A97" s="102" t="s">
        <v>347</v>
      </c>
      <c r="B97" s="102" t="s">
        <v>348</v>
      </c>
      <c r="C97" s="186">
        <v>940000</v>
      </c>
      <c r="D97" s="186">
        <v>0</v>
      </c>
      <c r="E97" s="186">
        <v>0</v>
      </c>
      <c r="F97" s="186">
        <v>0</v>
      </c>
      <c r="G97" s="186">
        <v>940000</v>
      </c>
      <c r="H97" s="186">
        <v>0</v>
      </c>
      <c r="I97" s="190">
        <f t="shared" si="5"/>
        <v>0</v>
      </c>
    </row>
    <row r="98" spans="1:9">
      <c r="A98" s="102" t="s">
        <v>349</v>
      </c>
      <c r="B98" s="102" t="s">
        <v>350</v>
      </c>
      <c r="C98" s="186">
        <v>18708726.879999999</v>
      </c>
      <c r="D98" s="186">
        <v>0</v>
      </c>
      <c r="E98" s="186">
        <v>44197544.850000001</v>
      </c>
      <c r="F98" s="186">
        <v>0</v>
      </c>
      <c r="G98" s="186">
        <v>62906271.729999997</v>
      </c>
      <c r="H98" s="186">
        <v>0</v>
      </c>
      <c r="I98" s="190">
        <f t="shared" si="5"/>
        <v>-44197544.850000001</v>
      </c>
    </row>
    <row r="99" spans="1:9">
      <c r="A99" s="102" t="s">
        <v>351</v>
      </c>
      <c r="B99" s="102" t="s">
        <v>352</v>
      </c>
      <c r="C99" s="186">
        <v>12472479.25</v>
      </c>
      <c r="D99" s="186">
        <v>0</v>
      </c>
      <c r="E99" s="186">
        <v>29465027.899999999</v>
      </c>
      <c r="F99" s="186">
        <v>0</v>
      </c>
      <c r="G99" s="186">
        <v>41937507.149999999</v>
      </c>
      <c r="H99" s="186">
        <v>0</v>
      </c>
      <c r="I99" s="190">
        <f t="shared" si="5"/>
        <v>-29465027.899999999</v>
      </c>
    </row>
    <row r="100" spans="1:9">
      <c r="A100" s="102" t="s">
        <v>353</v>
      </c>
      <c r="B100" s="102" t="s">
        <v>354</v>
      </c>
      <c r="C100" s="186">
        <v>12472479.25</v>
      </c>
      <c r="D100" s="186">
        <v>0</v>
      </c>
      <c r="E100" s="186">
        <v>31465027.899999999</v>
      </c>
      <c r="F100" s="186">
        <v>0</v>
      </c>
      <c r="G100" s="186">
        <v>43937507.149999999</v>
      </c>
      <c r="H100" s="186">
        <v>0</v>
      </c>
      <c r="I100" s="190">
        <f t="shared" si="5"/>
        <v>-31465027.899999999</v>
      </c>
    </row>
    <row r="101" spans="1:9">
      <c r="A101" s="102" t="s">
        <v>355</v>
      </c>
      <c r="B101" s="102" t="s">
        <v>356</v>
      </c>
      <c r="C101" s="186">
        <v>0</v>
      </c>
      <c r="D101" s="186">
        <v>0</v>
      </c>
      <c r="E101" s="186">
        <v>49583501</v>
      </c>
      <c r="F101" s="186">
        <v>49583501</v>
      </c>
      <c r="G101" s="186">
        <v>0</v>
      </c>
      <c r="H101" s="186">
        <v>0</v>
      </c>
      <c r="I101" s="190">
        <f t="shared" si="5"/>
        <v>0</v>
      </c>
    </row>
    <row r="102" spans="1:9">
      <c r="A102" s="102" t="s">
        <v>357</v>
      </c>
      <c r="B102" s="102" t="s">
        <v>358</v>
      </c>
      <c r="C102" s="186">
        <v>24944970.489999998</v>
      </c>
      <c r="D102" s="186">
        <v>0</v>
      </c>
      <c r="E102" s="186">
        <v>58930064.799999997</v>
      </c>
      <c r="F102" s="186">
        <v>0</v>
      </c>
      <c r="G102" s="186">
        <v>83875035.290000007</v>
      </c>
      <c r="H102" s="186">
        <v>0</v>
      </c>
      <c r="I102" s="190">
        <f t="shared" si="5"/>
        <v>-58930064.799999997</v>
      </c>
    </row>
    <row r="103" spans="1:9">
      <c r="A103" s="102" t="s">
        <v>365</v>
      </c>
      <c r="B103" s="102" t="s">
        <v>366</v>
      </c>
      <c r="C103" s="186">
        <v>3484800</v>
      </c>
      <c r="D103" s="186">
        <v>0</v>
      </c>
      <c r="E103" s="186">
        <v>3464560</v>
      </c>
      <c r="F103" s="186">
        <v>0</v>
      </c>
      <c r="G103" s="186">
        <v>6949360</v>
      </c>
      <c r="H103" s="186">
        <v>0</v>
      </c>
      <c r="I103" s="190">
        <f t="shared" si="5"/>
        <v>-3464560</v>
      </c>
    </row>
    <row r="104" spans="1:9">
      <c r="A104" s="102" t="s">
        <v>369</v>
      </c>
      <c r="B104" s="102" t="s">
        <v>370</v>
      </c>
      <c r="C104" s="186">
        <v>57024000</v>
      </c>
      <c r="D104" s="186">
        <v>0</v>
      </c>
      <c r="E104" s="186">
        <v>56692800</v>
      </c>
      <c r="F104" s="186">
        <v>0</v>
      </c>
      <c r="G104" s="186">
        <v>113716800</v>
      </c>
      <c r="H104" s="186">
        <v>0</v>
      </c>
      <c r="I104" s="190">
        <f t="shared" si="5"/>
        <v>-56692800</v>
      </c>
    </row>
    <row r="105" spans="1:9">
      <c r="A105" s="102" t="s">
        <v>375</v>
      </c>
      <c r="B105" s="102" t="s">
        <v>376</v>
      </c>
      <c r="C105" s="186">
        <v>3120000</v>
      </c>
      <c r="D105" s="186">
        <v>0</v>
      </c>
      <c r="E105" s="186">
        <v>5525000</v>
      </c>
      <c r="F105" s="186">
        <v>0</v>
      </c>
      <c r="G105" s="186">
        <v>8645000</v>
      </c>
      <c r="H105" s="186">
        <v>0</v>
      </c>
      <c r="I105" s="190">
        <f t="shared" si="5"/>
        <v>-5525000</v>
      </c>
    </row>
    <row r="106" spans="1:9">
      <c r="A106" s="102" t="s">
        <v>377</v>
      </c>
      <c r="B106" s="102" t="s">
        <v>378</v>
      </c>
      <c r="C106" s="186">
        <v>11555000</v>
      </c>
      <c r="D106" s="186">
        <v>0</v>
      </c>
      <c r="E106" s="186">
        <v>4010000</v>
      </c>
      <c r="F106" s="186">
        <v>0</v>
      </c>
      <c r="G106" s="186">
        <v>15565000</v>
      </c>
      <c r="H106" s="186">
        <v>0</v>
      </c>
      <c r="I106" s="190">
        <f t="shared" si="5"/>
        <v>-4010000</v>
      </c>
    </row>
    <row r="107" spans="1:9">
      <c r="A107" s="102" t="s">
        <v>379</v>
      </c>
      <c r="B107" s="102" t="s">
        <v>380</v>
      </c>
      <c r="C107" s="186">
        <v>2455200</v>
      </c>
      <c r="D107" s="186">
        <v>0</v>
      </c>
      <c r="E107" s="186">
        <v>0</v>
      </c>
      <c r="F107" s="186">
        <v>0</v>
      </c>
      <c r="G107" s="186">
        <v>2455200</v>
      </c>
      <c r="H107" s="186">
        <v>0</v>
      </c>
      <c r="I107" s="190">
        <f t="shared" si="5"/>
        <v>0</v>
      </c>
    </row>
    <row r="108" spans="1:9">
      <c r="A108" s="102" t="s">
        <v>381</v>
      </c>
      <c r="B108" s="102" t="s">
        <v>382</v>
      </c>
      <c r="C108" s="186">
        <v>70000</v>
      </c>
      <c r="D108" s="186">
        <v>0</v>
      </c>
      <c r="E108" s="186">
        <v>0</v>
      </c>
      <c r="F108" s="186">
        <v>0</v>
      </c>
      <c r="G108" s="186">
        <v>70000</v>
      </c>
      <c r="H108" s="186">
        <v>0</v>
      </c>
      <c r="I108" s="190">
        <f t="shared" si="5"/>
        <v>0</v>
      </c>
    </row>
    <row r="109" spans="1:9">
      <c r="A109" s="102" t="s">
        <v>385</v>
      </c>
      <c r="B109" s="102" t="s">
        <v>386</v>
      </c>
      <c r="C109" s="186">
        <v>787200</v>
      </c>
      <c r="D109" s="186">
        <v>0</v>
      </c>
      <c r="E109" s="186">
        <v>1328000</v>
      </c>
      <c r="F109" s="186">
        <v>0</v>
      </c>
      <c r="G109" s="186">
        <v>2115200</v>
      </c>
      <c r="H109" s="186">
        <v>0</v>
      </c>
      <c r="I109" s="190">
        <f t="shared" si="5"/>
        <v>-1328000</v>
      </c>
    </row>
    <row r="110" spans="1:9">
      <c r="A110" s="102" t="s">
        <v>387</v>
      </c>
      <c r="B110" s="102" t="s">
        <v>388</v>
      </c>
      <c r="C110" s="186">
        <v>816481.35</v>
      </c>
      <c r="D110" s="186">
        <v>0</v>
      </c>
      <c r="E110" s="186">
        <v>405041.1</v>
      </c>
      <c r="F110" s="186">
        <v>0</v>
      </c>
      <c r="G110" s="186">
        <v>1221522.45</v>
      </c>
      <c r="H110" s="186">
        <v>0</v>
      </c>
      <c r="I110" s="190">
        <f t="shared" si="5"/>
        <v>-405041.1</v>
      </c>
    </row>
    <row r="111" spans="1:9">
      <c r="A111" s="102" t="s">
        <v>389</v>
      </c>
      <c r="B111" s="102" t="s">
        <v>390</v>
      </c>
      <c r="C111" s="186">
        <v>0</v>
      </c>
      <c r="D111" s="186">
        <v>0.31999999999999995</v>
      </c>
      <c r="E111" s="186">
        <v>0</v>
      </c>
      <c r="F111" s="186">
        <v>0</v>
      </c>
      <c r="G111" s="186">
        <v>0</v>
      </c>
      <c r="H111" s="186">
        <v>0.31999999999999995</v>
      </c>
      <c r="I111" s="190">
        <f t="shared" si="5"/>
        <v>0</v>
      </c>
    </row>
    <row r="112" spans="1:9">
      <c r="A112" s="102" t="s">
        <v>391</v>
      </c>
      <c r="B112" s="102" t="s">
        <v>392</v>
      </c>
      <c r="C112" s="186">
        <v>3737000</v>
      </c>
      <c r="D112" s="186">
        <v>0</v>
      </c>
      <c r="E112" s="186">
        <v>4331000</v>
      </c>
      <c r="F112" s="186">
        <v>0</v>
      </c>
      <c r="G112" s="186">
        <v>8068000</v>
      </c>
      <c r="H112" s="186">
        <v>0</v>
      </c>
      <c r="I112" s="190">
        <f t="shared" si="5"/>
        <v>-4331000</v>
      </c>
    </row>
    <row r="113" spans="1:9">
      <c r="A113" s="102" t="s">
        <v>393</v>
      </c>
      <c r="B113" s="102" t="s">
        <v>394</v>
      </c>
      <c r="C113" s="186">
        <v>8399500</v>
      </c>
      <c r="D113" s="186">
        <v>0</v>
      </c>
      <c r="E113" s="186">
        <v>0</v>
      </c>
      <c r="F113" s="186">
        <v>0</v>
      </c>
      <c r="G113" s="186">
        <v>8399500</v>
      </c>
      <c r="H113" s="186">
        <v>0</v>
      </c>
      <c r="I113" s="190">
        <f t="shared" si="5"/>
        <v>0</v>
      </c>
    </row>
    <row r="114" spans="1:9">
      <c r="A114" s="102" t="s">
        <v>395</v>
      </c>
      <c r="B114" s="102" t="s">
        <v>396</v>
      </c>
      <c r="C114" s="186">
        <v>1948169.84</v>
      </c>
      <c r="D114" s="186">
        <v>0</v>
      </c>
      <c r="E114" s="186">
        <v>1672880.45</v>
      </c>
      <c r="F114" s="186">
        <v>0</v>
      </c>
      <c r="G114" s="186">
        <v>3621050.29</v>
      </c>
      <c r="H114" s="186">
        <v>0</v>
      </c>
      <c r="I114" s="190">
        <f t="shared" si="5"/>
        <v>-1672880.45</v>
      </c>
    </row>
    <row r="115" spans="1:9">
      <c r="A115" s="102" t="s">
        <v>397</v>
      </c>
      <c r="B115" s="102" t="s">
        <v>398</v>
      </c>
      <c r="C115" s="186">
        <v>580000</v>
      </c>
      <c r="D115" s="186">
        <v>0</v>
      </c>
      <c r="E115" s="186">
        <v>300000</v>
      </c>
      <c r="F115" s="186">
        <v>0</v>
      </c>
      <c r="G115" s="186">
        <v>880000</v>
      </c>
      <c r="H115" s="186">
        <v>0</v>
      </c>
      <c r="I115" s="190">
        <f t="shared" si="5"/>
        <v>-300000</v>
      </c>
    </row>
    <row r="116" spans="1:9">
      <c r="A116" s="102" t="s">
        <v>401</v>
      </c>
      <c r="B116" s="102" t="s">
        <v>402</v>
      </c>
      <c r="C116" s="186">
        <v>3006894.52</v>
      </c>
      <c r="D116" s="186">
        <v>0</v>
      </c>
      <c r="E116" s="186">
        <v>9651213.6999999993</v>
      </c>
      <c r="F116" s="186">
        <v>0</v>
      </c>
      <c r="G116" s="186">
        <v>12658108.220000001</v>
      </c>
      <c r="H116" s="186">
        <v>0</v>
      </c>
      <c r="I116" s="190">
        <f t="shared" si="5"/>
        <v>-9651213.6999999993</v>
      </c>
    </row>
    <row r="117" spans="1:9">
      <c r="A117" s="102" t="s">
        <v>403</v>
      </c>
      <c r="B117" s="102" t="s">
        <v>404</v>
      </c>
      <c r="C117" s="186">
        <v>268000</v>
      </c>
      <c r="D117" s="186">
        <v>0</v>
      </c>
      <c r="E117" s="186">
        <v>155000</v>
      </c>
      <c r="F117" s="186">
        <v>0</v>
      </c>
      <c r="G117" s="186">
        <v>423000</v>
      </c>
      <c r="H117" s="186">
        <v>0</v>
      </c>
      <c r="I117" s="190">
        <f t="shared" si="5"/>
        <v>-155000</v>
      </c>
    </row>
    <row r="118" spans="1:9">
      <c r="A118" s="102" t="s">
        <v>405</v>
      </c>
      <c r="B118" s="102" t="s">
        <v>406</v>
      </c>
      <c r="C118" s="186">
        <v>1357410</v>
      </c>
      <c r="D118" s="186">
        <v>0</v>
      </c>
      <c r="E118" s="186">
        <v>2511245</v>
      </c>
      <c r="F118" s="186">
        <v>633132</v>
      </c>
      <c r="G118" s="186">
        <v>3235523</v>
      </c>
      <c r="H118" s="186">
        <v>0</v>
      </c>
      <c r="I118" s="190">
        <f t="shared" si="5"/>
        <v>-1878113</v>
      </c>
    </row>
    <row r="119" spans="1:9">
      <c r="A119" s="102" t="s">
        <v>407</v>
      </c>
      <c r="B119" s="102" t="s">
        <v>408</v>
      </c>
      <c r="C119" s="186">
        <v>2567103</v>
      </c>
      <c r="D119" s="186">
        <v>0</v>
      </c>
      <c r="E119" s="186">
        <v>4504086</v>
      </c>
      <c r="F119" s="186">
        <v>0</v>
      </c>
      <c r="G119" s="186">
        <v>7071189</v>
      </c>
      <c r="H119" s="186">
        <v>0</v>
      </c>
      <c r="I119" s="190">
        <f t="shared" si="5"/>
        <v>-4504086</v>
      </c>
    </row>
    <row r="120" spans="1:9">
      <c r="A120" s="102" t="s">
        <v>409</v>
      </c>
      <c r="B120" s="102" t="s">
        <v>410</v>
      </c>
      <c r="C120" s="186">
        <v>11850000</v>
      </c>
      <c r="D120" s="186">
        <v>0</v>
      </c>
      <c r="E120" s="186">
        <v>11850000</v>
      </c>
      <c r="F120" s="186">
        <v>0</v>
      </c>
      <c r="G120" s="186">
        <v>23700000</v>
      </c>
      <c r="H120" s="186">
        <v>0</v>
      </c>
      <c r="I120" s="190">
        <f t="shared" si="5"/>
        <v>-11850000</v>
      </c>
    </row>
    <row r="121" spans="1:9">
      <c r="A121" s="102" t="s">
        <v>415</v>
      </c>
      <c r="B121" s="102" t="s">
        <v>416</v>
      </c>
      <c r="C121" s="186">
        <v>0</v>
      </c>
      <c r="D121" s="186">
        <v>0</v>
      </c>
      <c r="E121" s="186">
        <v>3181096</v>
      </c>
      <c r="F121" s="186">
        <v>0</v>
      </c>
      <c r="G121" s="186">
        <v>3181096</v>
      </c>
      <c r="H121" s="186">
        <v>0</v>
      </c>
      <c r="I121" s="190">
        <f t="shared" si="5"/>
        <v>-3181096</v>
      </c>
    </row>
    <row r="122" spans="1:9">
      <c r="A122" s="102" t="s">
        <v>417</v>
      </c>
      <c r="B122" s="102" t="s">
        <v>418</v>
      </c>
      <c r="C122" s="186">
        <v>1897788</v>
      </c>
      <c r="D122" s="186">
        <v>0</v>
      </c>
      <c r="E122" s="186">
        <v>4180000</v>
      </c>
      <c r="F122" s="186">
        <v>0</v>
      </c>
      <c r="G122" s="186">
        <v>6077788</v>
      </c>
      <c r="H122" s="186">
        <v>0</v>
      </c>
      <c r="I122" s="190">
        <f t="shared" si="5"/>
        <v>-4180000</v>
      </c>
    </row>
    <row r="123" spans="1:9">
      <c r="A123" s="102" t="s">
        <v>419</v>
      </c>
      <c r="B123" s="102" t="s">
        <v>420</v>
      </c>
      <c r="C123" s="186">
        <v>7168910.3499999996</v>
      </c>
      <c r="D123" s="186">
        <v>0</v>
      </c>
      <c r="E123" s="186">
        <v>8633951</v>
      </c>
      <c r="F123" s="186">
        <v>1014003.39</v>
      </c>
      <c r="G123" s="186">
        <v>14788857.960000001</v>
      </c>
      <c r="H123" s="186">
        <v>0</v>
      </c>
      <c r="I123" s="190">
        <f t="shared" si="5"/>
        <v>-7619947.6100000003</v>
      </c>
    </row>
    <row r="124" spans="1:9">
      <c r="A124" s="102" t="s">
        <v>423</v>
      </c>
      <c r="B124" s="102" t="s">
        <v>424</v>
      </c>
      <c r="C124" s="186">
        <v>320000</v>
      </c>
      <c r="D124" s="186">
        <v>0</v>
      </c>
      <c r="E124" s="186">
        <v>0</v>
      </c>
      <c r="F124" s="186">
        <v>0</v>
      </c>
      <c r="G124" s="186">
        <v>320000</v>
      </c>
      <c r="H124" s="186">
        <v>0</v>
      </c>
      <c r="I124" s="190">
        <f t="shared" si="5"/>
        <v>0</v>
      </c>
    </row>
    <row r="125" spans="1:9">
      <c r="A125" s="102" t="s">
        <v>429</v>
      </c>
      <c r="B125" s="102" t="s">
        <v>430</v>
      </c>
      <c r="C125" s="186">
        <v>16661400</v>
      </c>
      <c r="D125" s="186">
        <v>0</v>
      </c>
      <c r="E125" s="186">
        <v>1900000</v>
      </c>
      <c r="F125" s="186">
        <v>0</v>
      </c>
      <c r="G125" s="186">
        <v>18561400</v>
      </c>
      <c r="H125" s="186">
        <v>0</v>
      </c>
      <c r="I125" s="190">
        <f t="shared" si="5"/>
        <v>-1900000</v>
      </c>
    </row>
    <row r="126" spans="1:9">
      <c r="A126" s="102" t="s">
        <v>431</v>
      </c>
      <c r="B126" s="102" t="s">
        <v>432</v>
      </c>
      <c r="C126" s="186">
        <v>14750760.4</v>
      </c>
      <c r="D126" s="186">
        <v>0</v>
      </c>
      <c r="E126" s="186">
        <v>17167200.399999999</v>
      </c>
      <c r="F126" s="186">
        <v>0</v>
      </c>
      <c r="G126" s="186">
        <v>31917960.800000001</v>
      </c>
      <c r="H126" s="186">
        <v>0</v>
      </c>
      <c r="I126" s="190">
        <f t="shared" si="5"/>
        <v>-17167200.399999999</v>
      </c>
    </row>
    <row r="127" spans="1:9">
      <c r="A127" s="102" t="s">
        <v>437</v>
      </c>
      <c r="B127" s="102" t="s">
        <v>438</v>
      </c>
      <c r="C127" s="186">
        <v>10674717.02</v>
      </c>
      <c r="D127" s="186">
        <v>0</v>
      </c>
      <c r="E127" s="186">
        <v>9664260.540000001</v>
      </c>
      <c r="F127" s="186">
        <v>0</v>
      </c>
      <c r="G127" s="186">
        <v>20338977.559999999</v>
      </c>
      <c r="H127" s="186">
        <v>0</v>
      </c>
      <c r="I127" s="190">
        <f t="shared" si="5"/>
        <v>-9664260.540000001</v>
      </c>
    </row>
    <row r="128" spans="1:9">
      <c r="A128" s="102" t="s">
        <v>439</v>
      </c>
      <c r="B128" s="102" t="s">
        <v>440</v>
      </c>
      <c r="C128" s="186">
        <v>13133827.369999999</v>
      </c>
      <c r="D128" s="186">
        <v>0</v>
      </c>
      <c r="E128" s="186">
        <v>11862811.82</v>
      </c>
      <c r="F128" s="186">
        <v>0</v>
      </c>
      <c r="G128" s="186">
        <v>24996639.190000001</v>
      </c>
      <c r="H128" s="186">
        <v>0</v>
      </c>
      <c r="I128" s="190">
        <f t="shared" si="5"/>
        <v>-11862811.82</v>
      </c>
    </row>
    <row r="129" spans="1:18">
      <c r="A129" s="102" t="s">
        <v>441</v>
      </c>
      <c r="B129" s="102" t="s">
        <v>442</v>
      </c>
      <c r="C129" s="186">
        <v>5513921.7699999996</v>
      </c>
      <c r="D129" s="186">
        <v>0</v>
      </c>
      <c r="E129" s="186">
        <v>4980316.4400000004</v>
      </c>
      <c r="F129" s="186">
        <v>0</v>
      </c>
      <c r="G129" s="186">
        <v>10494238.210000001</v>
      </c>
      <c r="H129" s="186">
        <v>0</v>
      </c>
      <c r="I129" s="190">
        <f t="shared" si="5"/>
        <v>-4980316.4400000004</v>
      </c>
    </row>
    <row r="130" spans="1:18">
      <c r="A130" s="102" t="s">
        <v>443</v>
      </c>
      <c r="B130" s="102" t="s">
        <v>444</v>
      </c>
      <c r="C130" s="186">
        <v>1161032.02</v>
      </c>
      <c r="D130" s="186">
        <v>0</v>
      </c>
      <c r="E130" s="186">
        <v>1045006.44</v>
      </c>
      <c r="F130" s="186">
        <v>0</v>
      </c>
      <c r="G130" s="186">
        <v>2206038.46</v>
      </c>
      <c r="H130" s="186">
        <v>0</v>
      </c>
      <c r="I130" s="190">
        <f t="shared" si="5"/>
        <v>-1045006.44</v>
      </c>
    </row>
    <row r="131" spans="1:18">
      <c r="A131" s="102" t="s">
        <v>445</v>
      </c>
      <c r="B131" s="102" t="s">
        <v>446</v>
      </c>
      <c r="C131" s="186">
        <v>3234013.57</v>
      </c>
      <c r="D131" s="186">
        <v>0</v>
      </c>
      <c r="E131" s="186">
        <v>2921044.51</v>
      </c>
      <c r="F131" s="186">
        <v>0</v>
      </c>
      <c r="G131" s="186">
        <v>6155058.0800000001</v>
      </c>
      <c r="H131" s="186">
        <v>0</v>
      </c>
      <c r="I131" s="190">
        <f t="shared" si="5"/>
        <v>-2921044.51</v>
      </c>
    </row>
    <row r="132" spans="1:18">
      <c r="A132" s="102" t="s">
        <v>447</v>
      </c>
      <c r="B132" s="102" t="s">
        <v>448</v>
      </c>
      <c r="C132" s="186">
        <v>5878716.75</v>
      </c>
      <c r="D132" s="186">
        <v>0</v>
      </c>
      <c r="E132" s="186">
        <v>4613683.1300000008</v>
      </c>
      <c r="F132" s="186">
        <v>0</v>
      </c>
      <c r="G132" s="186">
        <v>10492399.880000001</v>
      </c>
      <c r="H132" s="186">
        <v>0</v>
      </c>
      <c r="I132" s="190">
        <f t="shared" si="5"/>
        <v>-4613683.1300000008</v>
      </c>
    </row>
    <row r="133" spans="1:18">
      <c r="A133" s="102" t="s">
        <v>451</v>
      </c>
      <c r="B133" s="102" t="s">
        <v>452</v>
      </c>
      <c r="C133" s="186">
        <v>0</v>
      </c>
      <c r="D133" s="186">
        <v>665625736.12</v>
      </c>
      <c r="E133" s="186">
        <v>0</v>
      </c>
      <c r="F133" s="186">
        <v>605957186.28999996</v>
      </c>
      <c r="G133" s="186">
        <v>0</v>
      </c>
      <c r="H133" s="186">
        <v>1271582922.4100001</v>
      </c>
      <c r="I133" s="190">
        <f t="shared" si="5"/>
        <v>605957186.28999996</v>
      </c>
    </row>
    <row r="134" spans="1:18">
      <c r="A134" s="102" t="s">
        <v>455</v>
      </c>
      <c r="B134" s="102" t="s">
        <v>456</v>
      </c>
      <c r="C134" s="186">
        <v>40700259.93</v>
      </c>
      <c r="D134" s="186">
        <v>0</v>
      </c>
      <c r="E134" s="186">
        <v>0</v>
      </c>
      <c r="F134" s="186">
        <v>40700259.93</v>
      </c>
      <c r="G134" s="186">
        <v>0</v>
      </c>
      <c r="H134" s="186">
        <v>0</v>
      </c>
      <c r="I134" s="190">
        <f t="shared" si="5"/>
        <v>40700259.93</v>
      </c>
    </row>
    <row r="135" spans="1:18">
      <c r="A135" s="102" t="s">
        <v>457</v>
      </c>
      <c r="B135" s="102" t="s">
        <v>458</v>
      </c>
      <c r="C135" s="186">
        <v>0</v>
      </c>
      <c r="D135" s="186">
        <v>107914590.79000001</v>
      </c>
      <c r="E135" s="186">
        <v>148614850.72</v>
      </c>
      <c r="F135" s="186">
        <v>129943733.23999999</v>
      </c>
      <c r="G135" s="186">
        <v>0</v>
      </c>
      <c r="H135" s="186">
        <v>89243473.310000002</v>
      </c>
      <c r="I135" s="190">
        <f t="shared" si="5"/>
        <v>-18671117.480000004</v>
      </c>
    </row>
    <row r="136" spans="1:18">
      <c r="A136" s="102" t="s">
        <v>461</v>
      </c>
      <c r="B136" s="102" t="s">
        <v>462</v>
      </c>
      <c r="C136" s="186">
        <v>0</v>
      </c>
      <c r="D136" s="186">
        <v>1555148.54</v>
      </c>
      <c r="E136" s="186">
        <v>2579905.12</v>
      </c>
      <c r="F136" s="186">
        <v>64183.5</v>
      </c>
      <c r="G136" s="186">
        <v>960573.08</v>
      </c>
      <c r="H136" s="186">
        <v>0</v>
      </c>
      <c r="I136" s="190">
        <f t="shared" si="5"/>
        <v>-2515721.62</v>
      </c>
    </row>
    <row r="137" spans="1:18">
      <c r="A137" s="102" t="s">
        <v>463</v>
      </c>
      <c r="B137" s="102" t="s">
        <v>464</v>
      </c>
      <c r="C137" s="186">
        <v>0</v>
      </c>
      <c r="D137" s="186">
        <v>112252458</v>
      </c>
      <c r="E137" s="186">
        <v>0</v>
      </c>
      <c r="F137" s="186">
        <v>265185391</v>
      </c>
      <c r="G137" s="186">
        <v>0</v>
      </c>
      <c r="H137" s="186">
        <v>377437849</v>
      </c>
      <c r="I137" s="190">
        <f t="shared" si="5"/>
        <v>265185391</v>
      </c>
    </row>
    <row r="138" spans="1:18">
      <c r="A138" s="102" t="s">
        <v>465</v>
      </c>
      <c r="B138" s="102" t="s">
        <v>466</v>
      </c>
      <c r="C138" s="186">
        <v>0</v>
      </c>
      <c r="D138" s="186">
        <v>0</v>
      </c>
      <c r="E138" s="186">
        <v>0</v>
      </c>
      <c r="F138" s="186">
        <v>84233600</v>
      </c>
      <c r="G138" s="186">
        <v>0</v>
      </c>
      <c r="H138" s="186">
        <v>84233600</v>
      </c>
      <c r="I138" s="190">
        <f t="shared" si="5"/>
        <v>84233600</v>
      </c>
    </row>
    <row r="139" spans="1:18">
      <c r="A139" s="102" t="s">
        <v>469</v>
      </c>
      <c r="B139" s="102" t="s">
        <v>470</v>
      </c>
      <c r="C139" s="186">
        <v>0</v>
      </c>
      <c r="D139" s="186">
        <v>2000</v>
      </c>
      <c r="E139" s="186">
        <v>0</v>
      </c>
      <c r="F139" s="186">
        <v>1.2</v>
      </c>
      <c r="G139" s="186">
        <v>0</v>
      </c>
      <c r="H139" s="186">
        <v>2001.2</v>
      </c>
      <c r="I139" s="190">
        <f t="shared" si="5"/>
        <v>1.2</v>
      </c>
    </row>
    <row r="140" spans="1:18">
      <c r="B140" s="102" t="s">
        <v>471</v>
      </c>
      <c r="C140" s="106">
        <f>SUM(C80:C139)</f>
        <v>643426468.56999993</v>
      </c>
      <c r="D140" s="106">
        <f t="shared" ref="D140:H140" si="6">SUM(D80:D139)</f>
        <v>887349933.76999998</v>
      </c>
      <c r="E140" s="106">
        <f t="shared" si="6"/>
        <v>792969763.11000013</v>
      </c>
      <c r="F140" s="106">
        <f t="shared" si="6"/>
        <v>1177314991.55</v>
      </c>
      <c r="G140" s="106">
        <f t="shared" si="6"/>
        <v>1194231152.6000001</v>
      </c>
      <c r="H140" s="106">
        <f t="shared" si="6"/>
        <v>1822499846.24</v>
      </c>
      <c r="I140" s="106">
        <v>-5.8593749999999998E-5</v>
      </c>
      <c r="J140" s="106">
        <v>0</v>
      </c>
      <c r="K140" s="106">
        <v>-3.9062500000000001E-5</v>
      </c>
      <c r="L140" s="102"/>
      <c r="M140" s="102"/>
      <c r="N140" s="102"/>
      <c r="O140" s="102"/>
      <c r="P140" s="102"/>
      <c r="Q140" s="102"/>
      <c r="R140" s="102"/>
    </row>
    <row r="141" spans="1:18">
      <c r="A141" s="194">
        <v>1</v>
      </c>
      <c r="B141" s="195"/>
      <c r="C141" s="195"/>
      <c r="D141" s="196">
        <f>+D140-C140</f>
        <v>243923465.20000005</v>
      </c>
      <c r="E141" s="195"/>
      <c r="F141" s="197">
        <f>+F140-E140</f>
        <v>384345228.43999982</v>
      </c>
      <c r="G141" s="195"/>
      <c r="H141" s="196">
        <f>+H140-G140</f>
        <v>628268693.63999987</v>
      </c>
      <c r="I141" s="198">
        <f>SUM(I80:I140)</f>
        <v>384345228.43994135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</sheetPr>
  <dimension ref="A1:R151"/>
  <sheetViews>
    <sheetView workbookViewId="0">
      <pane xSplit="2" ySplit="4" topLeftCell="G53" activePane="bottomRight" state="frozen"/>
      <selection pane="topRight" activeCell="C1" sqref="C1"/>
      <selection pane="bottomLeft" activeCell="A5" sqref="A5"/>
      <selection pane="bottomRight" activeCell="I7" sqref="I7"/>
    </sheetView>
  </sheetViews>
  <sheetFormatPr defaultRowHeight="15.75"/>
  <cols>
    <col min="1" max="1" width="8" style="103" customWidth="1"/>
    <col min="2" max="2" width="41.625" style="103" customWidth="1"/>
    <col min="3" max="4" width="15.25" style="103" bestFit="1" customWidth="1"/>
    <col min="5" max="5" width="14.375" style="103" bestFit="1" customWidth="1"/>
    <col min="6" max="6" width="15.25" style="103" customWidth="1"/>
    <col min="7" max="8" width="15.25" style="103" bestFit="1" customWidth="1"/>
    <col min="9" max="9" width="15.625" style="103" bestFit="1" customWidth="1"/>
    <col min="10" max="10" width="21.375" style="103" bestFit="1" customWidth="1"/>
    <col min="11" max="11" width="19.125" style="103" customWidth="1"/>
    <col min="12" max="12" width="17.875" style="103" customWidth="1"/>
    <col min="13" max="13" width="3.5" style="103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637</v>
      </c>
      <c r="F3" s="102" t="s">
        <v>112</v>
      </c>
    </row>
    <row r="4" spans="1:10">
      <c r="C4" s="278" t="s">
        <v>272</v>
      </c>
      <c r="D4" s="278" t="s">
        <v>273</v>
      </c>
      <c r="E4" s="279" t="s">
        <v>272</v>
      </c>
      <c r="F4" s="279" t="s">
        <v>273</v>
      </c>
      <c r="G4" s="280" t="s">
        <v>272</v>
      </c>
      <c r="H4" s="280" t="s">
        <v>273</v>
      </c>
      <c r="I4" s="199" t="s">
        <v>640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11551348</v>
      </c>
      <c r="F5" s="186">
        <v>11551348</v>
      </c>
      <c r="G5" s="186">
        <v>10000000</v>
      </c>
      <c r="H5" s="186">
        <v>0</v>
      </c>
      <c r="I5" s="113">
        <f>+G5-C5</f>
        <v>0</v>
      </c>
      <c r="J5" s="113">
        <f>+H5-D5</f>
        <v>0</v>
      </c>
    </row>
    <row r="6" spans="1:10">
      <c r="A6" s="285" t="s">
        <v>141</v>
      </c>
      <c r="B6" s="285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283">
        <f>+G6-C6</f>
        <v>0</v>
      </c>
      <c r="J6" s="113">
        <f t="shared" ref="J6:J69" si="0">+H6-D6</f>
        <v>0</v>
      </c>
    </row>
    <row r="7" spans="1:10">
      <c r="A7" s="285" t="s">
        <v>127</v>
      </c>
      <c r="B7" s="285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283">
        <f t="shared" ref="I7:I69" si="1">+G7-C7</f>
        <v>0</v>
      </c>
      <c r="J7" s="113">
        <f t="shared" si="0"/>
        <v>0</v>
      </c>
    </row>
    <row r="8" spans="1:10">
      <c r="A8" s="285" t="s">
        <v>135</v>
      </c>
      <c r="B8" s="285" t="s">
        <v>136</v>
      </c>
      <c r="C8" s="186">
        <v>137708707.72999999</v>
      </c>
      <c r="D8" s="186">
        <v>0</v>
      </c>
      <c r="E8" s="186">
        <v>91415591.700000003</v>
      </c>
      <c r="F8" s="186">
        <v>1389351.21</v>
      </c>
      <c r="G8" s="186">
        <v>227734948.22</v>
      </c>
      <c r="H8" s="186">
        <v>0</v>
      </c>
      <c r="I8" s="283">
        <f t="shared" si="1"/>
        <v>90026240.49000001</v>
      </c>
      <c r="J8" s="113">
        <f t="shared" si="0"/>
        <v>0</v>
      </c>
    </row>
    <row r="9" spans="1:10">
      <c r="A9" s="285" t="s">
        <v>143</v>
      </c>
      <c r="B9" s="285" t="s">
        <v>144</v>
      </c>
      <c r="C9" s="186">
        <v>1528264.66</v>
      </c>
      <c r="D9" s="186">
        <v>0</v>
      </c>
      <c r="E9" s="186">
        <v>0</v>
      </c>
      <c r="F9" s="186">
        <v>27366.69</v>
      </c>
      <c r="G9" s="186">
        <v>1500897.97</v>
      </c>
      <c r="H9" s="186">
        <v>0</v>
      </c>
      <c r="I9" s="283">
        <f t="shared" si="1"/>
        <v>-27366.689999999944</v>
      </c>
      <c r="J9" s="113">
        <f t="shared" si="0"/>
        <v>0</v>
      </c>
    </row>
    <row r="10" spans="1:10">
      <c r="A10" s="285" t="s">
        <v>131</v>
      </c>
      <c r="B10" s="285" t="s">
        <v>132</v>
      </c>
      <c r="C10" s="186">
        <v>209470890</v>
      </c>
      <c r="D10" s="186">
        <v>0</v>
      </c>
      <c r="E10" s="186">
        <v>2847711383</v>
      </c>
      <c r="F10" s="186">
        <v>2886376382</v>
      </c>
      <c r="G10" s="186">
        <v>170805891</v>
      </c>
      <c r="H10" s="186">
        <v>0</v>
      </c>
      <c r="I10" s="283">
        <f t="shared" si="1"/>
        <v>-38664999</v>
      </c>
      <c r="J10" s="113">
        <f t="shared" si="0"/>
        <v>0</v>
      </c>
    </row>
    <row r="11" spans="1:10">
      <c r="A11" s="285" t="s">
        <v>121</v>
      </c>
      <c r="B11" s="285" t="s">
        <v>122</v>
      </c>
      <c r="C11" s="186">
        <v>35835753400</v>
      </c>
      <c r="D11" s="186">
        <v>0</v>
      </c>
      <c r="E11" s="186">
        <v>6394665813</v>
      </c>
      <c r="F11" s="186">
        <v>11019585273</v>
      </c>
      <c r="G11" s="186">
        <v>31210833940</v>
      </c>
      <c r="H11" s="186">
        <v>0</v>
      </c>
      <c r="I11" s="283">
        <f t="shared" si="1"/>
        <v>-4624919460</v>
      </c>
      <c r="J11" s="113">
        <f t="shared" si="0"/>
        <v>0</v>
      </c>
    </row>
    <row r="12" spans="1:10">
      <c r="A12" s="285" t="s">
        <v>123</v>
      </c>
      <c r="B12" s="285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283">
        <f t="shared" si="1"/>
        <v>0</v>
      </c>
      <c r="J12" s="113">
        <f t="shared" si="0"/>
        <v>0</v>
      </c>
    </row>
    <row r="13" spans="1:10">
      <c r="A13" s="285" t="s">
        <v>274</v>
      </c>
      <c r="B13" s="285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283">
        <f t="shared" si="1"/>
        <v>0</v>
      </c>
      <c r="J13" s="113">
        <f t="shared" si="0"/>
        <v>0</v>
      </c>
    </row>
    <row r="14" spans="1:10">
      <c r="A14" s="285" t="s">
        <v>276</v>
      </c>
      <c r="B14" s="285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283">
        <f t="shared" si="1"/>
        <v>0</v>
      </c>
      <c r="J14" s="113">
        <f t="shared" si="0"/>
        <v>0</v>
      </c>
    </row>
    <row r="15" spans="1:10">
      <c r="A15" s="285" t="s">
        <v>278</v>
      </c>
      <c r="B15" s="285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283">
        <f t="shared" si="1"/>
        <v>0</v>
      </c>
      <c r="J15" s="113">
        <f t="shared" si="0"/>
        <v>0</v>
      </c>
    </row>
    <row r="16" spans="1:10">
      <c r="A16" s="285" t="s">
        <v>145</v>
      </c>
      <c r="B16" s="285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283">
        <f t="shared" si="1"/>
        <v>0</v>
      </c>
      <c r="J16" s="113">
        <f t="shared" si="0"/>
        <v>0</v>
      </c>
    </row>
    <row r="17" spans="1:13">
      <c r="A17" s="285" t="s">
        <v>149</v>
      </c>
      <c r="B17" s="285" t="s">
        <v>150</v>
      </c>
      <c r="C17" s="186">
        <v>7076620200.8700047</v>
      </c>
      <c r="D17" s="186">
        <v>0</v>
      </c>
      <c r="E17" s="186">
        <v>228083934.47</v>
      </c>
      <c r="F17" s="186">
        <v>485670683.25</v>
      </c>
      <c r="G17" s="186">
        <v>6819033452.0900049</v>
      </c>
      <c r="H17" s="186">
        <v>0</v>
      </c>
      <c r="I17" s="283">
        <f t="shared" si="1"/>
        <v>-257586748.77999973</v>
      </c>
      <c r="J17" s="113">
        <f t="shared" si="0"/>
        <v>0</v>
      </c>
      <c r="L17" s="113">
        <f>+SUM(I5:I24)</f>
        <v>-4486956719.6499996</v>
      </c>
      <c r="M17" s="103">
        <v>1</v>
      </c>
    </row>
    <row r="18" spans="1:13">
      <c r="A18" s="285" t="s">
        <v>139</v>
      </c>
      <c r="B18" s="285" t="s">
        <v>140</v>
      </c>
      <c r="C18" s="186">
        <v>169456590.22</v>
      </c>
      <c r="D18" s="186">
        <v>0</v>
      </c>
      <c r="E18" s="186">
        <v>246760.03</v>
      </c>
      <c r="F18" s="186">
        <v>70396782.889999986</v>
      </c>
      <c r="G18" s="186">
        <v>99306567.360000014</v>
      </c>
      <c r="H18" s="186">
        <v>0</v>
      </c>
      <c r="I18" s="283">
        <f t="shared" si="1"/>
        <v>-70150022.859999985</v>
      </c>
      <c r="J18" s="113">
        <f t="shared" si="0"/>
        <v>0</v>
      </c>
    </row>
    <row r="19" spans="1:13">
      <c r="A19" s="285" t="s">
        <v>137</v>
      </c>
      <c r="B19" s="285" t="s">
        <v>138</v>
      </c>
      <c r="C19" s="186">
        <v>3808893026</v>
      </c>
      <c r="D19" s="186">
        <v>0</v>
      </c>
      <c r="E19" s="186">
        <v>153424658</v>
      </c>
      <c r="F19" s="186">
        <v>0</v>
      </c>
      <c r="G19" s="186">
        <v>3962317684</v>
      </c>
      <c r="H19" s="186">
        <v>0</v>
      </c>
      <c r="I19" s="283">
        <f t="shared" si="1"/>
        <v>153424658</v>
      </c>
      <c r="J19" s="113">
        <f t="shared" si="0"/>
        <v>0</v>
      </c>
    </row>
    <row r="20" spans="1:13">
      <c r="A20" s="285" t="s">
        <v>151</v>
      </c>
      <c r="B20" s="285" t="s">
        <v>152</v>
      </c>
      <c r="C20" s="186">
        <v>1407668189.3000119</v>
      </c>
      <c r="D20" s="186">
        <v>0</v>
      </c>
      <c r="E20" s="186">
        <v>260940979.19</v>
      </c>
      <c r="F20" s="186">
        <v>0</v>
      </c>
      <c r="G20" s="186">
        <v>1668609168.4900119</v>
      </c>
      <c r="H20" s="186">
        <v>0</v>
      </c>
      <c r="I20" s="283">
        <f t="shared" si="1"/>
        <v>260940979.19000006</v>
      </c>
      <c r="J20" s="113">
        <f t="shared" si="0"/>
        <v>0</v>
      </c>
    </row>
    <row r="21" spans="1:13">
      <c r="A21" s="285" t="s">
        <v>147</v>
      </c>
      <c r="B21" s="285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283">
        <f t="shared" si="1"/>
        <v>0</v>
      </c>
      <c r="J21" s="113">
        <f t="shared" si="0"/>
        <v>0</v>
      </c>
    </row>
    <row r="22" spans="1:13">
      <c r="A22" s="285" t="s">
        <v>125</v>
      </c>
      <c r="B22" s="285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283">
        <f t="shared" si="1"/>
        <v>0</v>
      </c>
      <c r="J22" s="113">
        <f t="shared" si="0"/>
        <v>0</v>
      </c>
    </row>
    <row r="23" spans="1:13">
      <c r="A23" s="285" t="s">
        <v>129</v>
      </c>
      <c r="B23" s="285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283">
        <f t="shared" si="1"/>
        <v>0</v>
      </c>
      <c r="J23" s="113">
        <f t="shared" si="0"/>
        <v>0</v>
      </c>
    </row>
    <row r="24" spans="1:13">
      <c r="A24" s="285" t="s">
        <v>133</v>
      </c>
      <c r="B24" s="285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283">
        <f t="shared" si="1"/>
        <v>0</v>
      </c>
      <c r="J24" s="113">
        <f t="shared" si="0"/>
        <v>0</v>
      </c>
      <c r="K24" s="113">
        <f>+SUM(I6:I24)</f>
        <v>-4486956719.6499996</v>
      </c>
      <c r="L24" s="113">
        <f>+K24+'Cash flow statement '!G20</f>
        <v>0</v>
      </c>
    </row>
    <row r="25" spans="1:13">
      <c r="A25" s="239" t="s">
        <v>201</v>
      </c>
      <c r="B25" s="239" t="s">
        <v>202</v>
      </c>
      <c r="C25" s="186">
        <v>601501142.15000057</v>
      </c>
      <c r="D25" s="186">
        <v>0</v>
      </c>
      <c r="E25" s="186">
        <v>661706621.26999998</v>
      </c>
      <c r="F25" s="186">
        <v>601501142.14999998</v>
      </c>
      <c r="G25" s="186">
        <v>661706621.27000058</v>
      </c>
      <c r="H25" s="186">
        <v>0</v>
      </c>
      <c r="I25" s="205">
        <f t="shared" si="1"/>
        <v>60205479.120000005</v>
      </c>
      <c r="J25" s="113">
        <f t="shared" si="0"/>
        <v>0</v>
      </c>
    </row>
    <row r="26" spans="1:13">
      <c r="A26" s="240" t="s">
        <v>217</v>
      </c>
      <c r="B26" s="240" t="s">
        <v>218</v>
      </c>
      <c r="C26" s="186">
        <v>159699143</v>
      </c>
      <c r="D26" s="186">
        <v>0</v>
      </c>
      <c r="E26" s="186">
        <v>1161321</v>
      </c>
      <c r="F26" s="186">
        <v>0</v>
      </c>
      <c r="G26" s="186">
        <v>160860464</v>
      </c>
      <c r="H26" s="186">
        <v>0</v>
      </c>
      <c r="I26" s="241">
        <f t="shared" si="1"/>
        <v>1161321</v>
      </c>
      <c r="J26" s="113">
        <f t="shared" si="0"/>
        <v>0</v>
      </c>
      <c r="L26" s="113"/>
    </row>
    <row r="27" spans="1:13">
      <c r="A27" s="240" t="s">
        <v>215</v>
      </c>
      <c r="B27" s="240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41">
        <f t="shared" si="1"/>
        <v>0</v>
      </c>
      <c r="J27" s="113">
        <f t="shared" si="0"/>
        <v>0</v>
      </c>
      <c r="L27" s="113">
        <f>-I25-I31</f>
        <v>7298891.9499999881</v>
      </c>
    </row>
    <row r="28" spans="1:13">
      <c r="A28" s="240" t="s">
        <v>282</v>
      </c>
      <c r="B28" s="240" t="s">
        <v>283</v>
      </c>
      <c r="C28" s="186">
        <v>0</v>
      </c>
      <c r="D28" s="186">
        <v>0</v>
      </c>
      <c r="E28" s="186">
        <v>900898</v>
      </c>
      <c r="F28" s="186">
        <v>0</v>
      </c>
      <c r="G28" s="186">
        <v>900898</v>
      </c>
      <c r="H28" s="186">
        <v>0</v>
      </c>
      <c r="I28" s="241">
        <f t="shared" si="1"/>
        <v>900898</v>
      </c>
      <c r="J28" s="113">
        <f t="shared" si="0"/>
        <v>0</v>
      </c>
    </row>
    <row r="29" spans="1:13" s="237" customFormat="1">
      <c r="A29" s="226" t="s">
        <v>159</v>
      </c>
      <c r="B29" s="226" t="s">
        <v>160</v>
      </c>
      <c r="C29" s="236">
        <v>90243338</v>
      </c>
      <c r="D29" s="236">
        <v>0</v>
      </c>
      <c r="E29" s="236">
        <v>710154036</v>
      </c>
      <c r="F29" s="236">
        <v>800397374</v>
      </c>
      <c r="G29" s="236">
        <v>0</v>
      </c>
      <c r="H29" s="236">
        <v>0</v>
      </c>
      <c r="I29" s="233">
        <f t="shared" si="1"/>
        <v>-90243338</v>
      </c>
      <c r="J29" s="233">
        <f t="shared" si="0"/>
        <v>0</v>
      </c>
    </row>
    <row r="30" spans="1:13">
      <c r="A30" s="243" t="s">
        <v>162</v>
      </c>
      <c r="B30" s="243" t="s">
        <v>163</v>
      </c>
      <c r="C30" s="281">
        <v>0</v>
      </c>
      <c r="D30" s="281">
        <v>0</v>
      </c>
      <c r="E30" s="281">
        <v>2606828749</v>
      </c>
      <c r="F30" s="281">
        <v>1847314009</v>
      </c>
      <c r="G30" s="281">
        <v>759514740</v>
      </c>
      <c r="H30" s="281">
        <v>0</v>
      </c>
      <c r="I30" s="244">
        <f t="shared" si="1"/>
        <v>759514740</v>
      </c>
      <c r="J30" s="244">
        <f t="shared" si="0"/>
        <v>0</v>
      </c>
      <c r="K30" s="282"/>
      <c r="L30" s="282"/>
    </row>
    <row r="31" spans="1:13">
      <c r="A31" s="239" t="s">
        <v>203</v>
      </c>
      <c r="B31" s="239" t="s">
        <v>204</v>
      </c>
      <c r="C31" s="186">
        <v>294695923.44</v>
      </c>
      <c r="D31" s="186">
        <v>0</v>
      </c>
      <c r="E31" s="186">
        <v>69312146.680000007</v>
      </c>
      <c r="F31" s="186">
        <v>136816517.75</v>
      </c>
      <c r="G31" s="186">
        <v>227191552.37</v>
      </c>
      <c r="H31" s="186">
        <v>0</v>
      </c>
      <c r="I31" s="205">
        <f t="shared" si="1"/>
        <v>-67504371.069999993</v>
      </c>
      <c r="J31" s="113">
        <f t="shared" si="0"/>
        <v>0</v>
      </c>
    </row>
    <row r="32" spans="1:13">
      <c r="A32" s="234" t="s">
        <v>154</v>
      </c>
      <c r="B32" s="234" t="s">
        <v>155</v>
      </c>
      <c r="C32" s="186">
        <v>973254466.75999999</v>
      </c>
      <c r="D32" s="186">
        <v>0</v>
      </c>
      <c r="E32" s="186">
        <v>278684380</v>
      </c>
      <c r="F32" s="186">
        <v>0</v>
      </c>
      <c r="G32" s="186">
        <v>1251938846.76</v>
      </c>
      <c r="H32" s="186">
        <v>0</v>
      </c>
      <c r="I32" s="235">
        <f>+G32-C32</f>
        <v>278684380</v>
      </c>
      <c r="J32" s="113">
        <f t="shared" si="0"/>
        <v>0</v>
      </c>
    </row>
    <row r="33" spans="1:12">
      <c r="A33" s="234" t="s">
        <v>156</v>
      </c>
      <c r="B33" s="234" t="s">
        <v>157</v>
      </c>
      <c r="C33" s="186">
        <v>129943733.23999992</v>
      </c>
      <c r="D33" s="186">
        <v>0</v>
      </c>
      <c r="E33" s="186">
        <v>112758753.23999999</v>
      </c>
      <c r="F33" s="186">
        <v>129943733.23999999</v>
      </c>
      <c r="G33" s="186">
        <v>112758753.23999992</v>
      </c>
      <c r="H33" s="186">
        <v>0</v>
      </c>
      <c r="I33" s="235">
        <f t="shared" si="1"/>
        <v>-17184980</v>
      </c>
      <c r="J33" s="113">
        <f t="shared" si="0"/>
        <v>0</v>
      </c>
    </row>
    <row r="34" spans="1:12">
      <c r="A34" s="240" t="s">
        <v>165</v>
      </c>
      <c r="B34" s="240" t="s">
        <v>166</v>
      </c>
      <c r="C34" s="186">
        <v>17950347</v>
      </c>
      <c r="D34" s="186">
        <v>0</v>
      </c>
      <c r="E34" s="186">
        <v>913950</v>
      </c>
      <c r="F34" s="186">
        <v>2895714</v>
      </c>
      <c r="G34" s="186">
        <v>15968583</v>
      </c>
      <c r="H34" s="186">
        <v>0</v>
      </c>
      <c r="I34" s="241">
        <f t="shared" si="1"/>
        <v>-1981764</v>
      </c>
      <c r="J34" s="113">
        <f t="shared" si="0"/>
        <v>0</v>
      </c>
    </row>
    <row r="35" spans="1:12">
      <c r="A35" s="240" t="s">
        <v>171</v>
      </c>
      <c r="B35" s="240" t="s">
        <v>172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41">
        <f t="shared" si="1"/>
        <v>0</v>
      </c>
      <c r="J35" s="113">
        <f t="shared" si="0"/>
        <v>0</v>
      </c>
    </row>
    <row r="36" spans="1:12">
      <c r="A36" s="240" t="s">
        <v>167</v>
      </c>
      <c r="B36" s="240" t="s">
        <v>168</v>
      </c>
      <c r="C36" s="186">
        <v>0</v>
      </c>
      <c r="D36" s="186">
        <v>0</v>
      </c>
      <c r="E36" s="186">
        <v>372200</v>
      </c>
      <c r="F36" s="186">
        <v>0</v>
      </c>
      <c r="G36" s="186">
        <v>372200</v>
      </c>
      <c r="H36" s="186">
        <v>0</v>
      </c>
      <c r="I36" s="241">
        <f t="shared" si="1"/>
        <v>372200</v>
      </c>
      <c r="J36" s="113">
        <f t="shared" si="0"/>
        <v>0</v>
      </c>
    </row>
    <row r="37" spans="1:12">
      <c r="A37" s="240" t="s">
        <v>169</v>
      </c>
      <c r="B37" s="240" t="s">
        <v>170</v>
      </c>
      <c r="C37" s="186">
        <v>1955000</v>
      </c>
      <c r="D37" s="186">
        <v>0</v>
      </c>
      <c r="E37" s="186">
        <v>10000000</v>
      </c>
      <c r="F37" s="186">
        <v>7955000</v>
      </c>
      <c r="G37" s="186">
        <v>4000000</v>
      </c>
      <c r="H37" s="186">
        <v>0</v>
      </c>
      <c r="I37" s="241">
        <f t="shared" si="1"/>
        <v>2045000</v>
      </c>
      <c r="J37" s="113">
        <f t="shared" si="0"/>
        <v>0</v>
      </c>
    </row>
    <row r="38" spans="1:12">
      <c r="A38" s="240" t="s">
        <v>210</v>
      </c>
      <c r="B38" s="240" t="s">
        <v>211</v>
      </c>
      <c r="C38" s="186">
        <v>341889115.75000012</v>
      </c>
      <c r="D38" s="186">
        <v>0</v>
      </c>
      <c r="E38" s="186">
        <v>51041361.420000002</v>
      </c>
      <c r="F38" s="186">
        <v>52260409.939999998</v>
      </c>
      <c r="G38" s="186">
        <v>340670067.23000014</v>
      </c>
      <c r="H38" s="186">
        <v>0</v>
      </c>
      <c r="I38" s="241">
        <f t="shared" si="1"/>
        <v>-1219048.5199999809</v>
      </c>
      <c r="J38" s="113">
        <f t="shared" si="0"/>
        <v>0</v>
      </c>
    </row>
    <row r="39" spans="1:12">
      <c r="A39" s="240" t="s">
        <v>208</v>
      </c>
      <c r="B39" s="240" t="s">
        <v>209</v>
      </c>
      <c r="C39" s="186">
        <v>118514351.41999999</v>
      </c>
      <c r="D39" s="186">
        <v>0</v>
      </c>
      <c r="E39" s="186">
        <v>0</v>
      </c>
      <c r="F39" s="186">
        <v>12019416.74</v>
      </c>
      <c r="G39" s="186">
        <v>106494934.67999998</v>
      </c>
      <c r="H39" s="186">
        <v>0</v>
      </c>
      <c r="I39" s="241">
        <f t="shared" si="1"/>
        <v>-12019416.74000001</v>
      </c>
      <c r="J39" s="113">
        <f t="shared" si="0"/>
        <v>0</v>
      </c>
    </row>
    <row r="40" spans="1:12">
      <c r="A40" s="240" t="s">
        <v>206</v>
      </c>
      <c r="B40" s="240" t="s">
        <v>207</v>
      </c>
      <c r="C40" s="186">
        <v>4642871</v>
      </c>
      <c r="D40" s="186">
        <v>0</v>
      </c>
      <c r="E40" s="186">
        <v>0</v>
      </c>
      <c r="F40" s="186">
        <v>448438.36</v>
      </c>
      <c r="G40" s="186">
        <v>4194432.6399999997</v>
      </c>
      <c r="H40" s="186">
        <v>0</v>
      </c>
      <c r="I40" s="241">
        <f t="shared" si="1"/>
        <v>-448438.36000000034</v>
      </c>
      <c r="J40" s="113">
        <f t="shared" si="0"/>
        <v>0</v>
      </c>
    </row>
    <row r="41" spans="1:12">
      <c r="A41" s="240" t="s">
        <v>212</v>
      </c>
      <c r="B41" s="240" t="s">
        <v>213</v>
      </c>
      <c r="C41" s="186">
        <v>3988600.0100000007</v>
      </c>
      <c r="D41" s="186">
        <v>0</v>
      </c>
      <c r="E41" s="186">
        <v>0</v>
      </c>
      <c r="F41" s="186">
        <v>846894.52</v>
      </c>
      <c r="G41" s="186">
        <v>3141705.4900000007</v>
      </c>
      <c r="H41" s="186">
        <v>0</v>
      </c>
      <c r="I41" s="241">
        <f t="shared" si="1"/>
        <v>-846894.52</v>
      </c>
      <c r="J41" s="113">
        <f t="shared" si="0"/>
        <v>0</v>
      </c>
      <c r="L41" s="205">
        <f>+SUM(I6:I41)</f>
        <v>-3575520952.7399998</v>
      </c>
    </row>
    <row r="42" spans="1:12">
      <c r="A42" s="209" t="s">
        <v>174</v>
      </c>
      <c r="B42" s="209" t="s">
        <v>175</v>
      </c>
      <c r="C42" s="186">
        <v>300878050.00999999</v>
      </c>
      <c r="D42" s="186">
        <v>0</v>
      </c>
      <c r="E42" s="186">
        <v>0</v>
      </c>
      <c r="F42" s="186">
        <v>0</v>
      </c>
      <c r="G42" s="186">
        <v>300878050.00999999</v>
      </c>
      <c r="H42" s="186">
        <v>0</v>
      </c>
      <c r="I42" s="286">
        <f t="shared" si="1"/>
        <v>0</v>
      </c>
      <c r="J42" s="113">
        <f t="shared" si="0"/>
        <v>0</v>
      </c>
    </row>
    <row r="43" spans="1:12">
      <c r="A43" s="209" t="s">
        <v>179</v>
      </c>
      <c r="B43" s="209" t="s">
        <v>180</v>
      </c>
      <c r="C43" s="186">
        <v>629368000</v>
      </c>
      <c r="D43" s="186">
        <v>0</v>
      </c>
      <c r="E43" s="186">
        <v>0</v>
      </c>
      <c r="F43" s="186">
        <v>0</v>
      </c>
      <c r="G43" s="186">
        <v>629368000</v>
      </c>
      <c r="H43" s="186">
        <v>0</v>
      </c>
      <c r="I43" s="286">
        <f t="shared" si="1"/>
        <v>0</v>
      </c>
      <c r="J43" s="113">
        <f t="shared" si="0"/>
        <v>0</v>
      </c>
    </row>
    <row r="44" spans="1:12">
      <c r="A44" s="209" t="s">
        <v>177</v>
      </c>
      <c r="B44" s="209" t="s">
        <v>178</v>
      </c>
      <c r="C44" s="186">
        <v>1552512051.8699999</v>
      </c>
      <c r="D44" s="186">
        <v>0</v>
      </c>
      <c r="E44" s="186">
        <v>0</v>
      </c>
      <c r="F44" s="186">
        <v>0</v>
      </c>
      <c r="G44" s="186">
        <v>1552512051.8699999</v>
      </c>
      <c r="H44" s="186">
        <v>0</v>
      </c>
      <c r="I44" s="286">
        <f t="shared" si="1"/>
        <v>0</v>
      </c>
      <c r="J44" s="113">
        <f t="shared" si="0"/>
        <v>0</v>
      </c>
    </row>
    <row r="45" spans="1:12">
      <c r="A45" s="209" t="s">
        <v>183</v>
      </c>
      <c r="B45" s="209" t="s">
        <v>184</v>
      </c>
      <c r="C45" s="186">
        <v>649742024.07000005</v>
      </c>
      <c r="D45" s="186">
        <v>0</v>
      </c>
      <c r="E45" s="186">
        <v>3722000</v>
      </c>
      <c r="F45" s="186">
        <v>3786644.92</v>
      </c>
      <c r="G45" s="186">
        <v>649677379.1500001</v>
      </c>
      <c r="H45" s="186">
        <v>0</v>
      </c>
      <c r="I45" s="286">
        <f>+G45-C45</f>
        <v>-64644.919999957085</v>
      </c>
      <c r="J45" s="113">
        <f t="shared" si="0"/>
        <v>0</v>
      </c>
    </row>
    <row r="46" spans="1:12">
      <c r="A46" s="209" t="s">
        <v>181</v>
      </c>
      <c r="B46" s="209" t="s">
        <v>182</v>
      </c>
      <c r="C46" s="186">
        <v>138215192.81999999</v>
      </c>
      <c r="D46" s="186">
        <v>0</v>
      </c>
      <c r="E46" s="186">
        <v>0</v>
      </c>
      <c r="F46" s="186">
        <v>0</v>
      </c>
      <c r="G46" s="186">
        <v>138215192.81999999</v>
      </c>
      <c r="H46" s="186">
        <v>0</v>
      </c>
      <c r="I46" s="286">
        <f t="shared" si="1"/>
        <v>0</v>
      </c>
      <c r="J46" s="113">
        <f t="shared" si="0"/>
        <v>0</v>
      </c>
    </row>
    <row r="47" spans="1:12">
      <c r="A47" s="209" t="s">
        <v>185</v>
      </c>
      <c r="B47" s="209" t="s">
        <v>186</v>
      </c>
      <c r="C47" s="186">
        <v>381089662.11000001</v>
      </c>
      <c r="D47" s="186">
        <v>0</v>
      </c>
      <c r="E47" s="186">
        <v>0</v>
      </c>
      <c r="F47" s="186">
        <v>0</v>
      </c>
      <c r="G47" s="186">
        <v>381089662.11000001</v>
      </c>
      <c r="H47" s="186">
        <v>0</v>
      </c>
      <c r="I47" s="286">
        <f t="shared" si="1"/>
        <v>0</v>
      </c>
      <c r="J47" s="113">
        <f t="shared" si="0"/>
        <v>0</v>
      </c>
    </row>
    <row r="48" spans="1:12">
      <c r="A48" s="226" t="s">
        <v>198</v>
      </c>
      <c r="B48" s="226" t="s">
        <v>199</v>
      </c>
      <c r="C48" s="186">
        <v>0</v>
      </c>
      <c r="D48" s="186">
        <v>62262984.719999999</v>
      </c>
      <c r="E48" s="186">
        <v>0</v>
      </c>
      <c r="F48" s="186">
        <v>5108006.330000001</v>
      </c>
      <c r="G48" s="186">
        <v>0</v>
      </c>
      <c r="H48" s="186">
        <v>67370991.049999997</v>
      </c>
      <c r="I48" s="113">
        <f t="shared" si="1"/>
        <v>0</v>
      </c>
      <c r="J48" s="233">
        <f>+H48-D48</f>
        <v>5108006.3299999982</v>
      </c>
      <c r="L48" s="238">
        <f>+SUM(J48:J53)</f>
        <v>37983111.679999962</v>
      </c>
    </row>
    <row r="49" spans="1:12">
      <c r="A49" s="226" t="s">
        <v>196</v>
      </c>
      <c r="B49" s="226" t="s">
        <v>197</v>
      </c>
      <c r="C49" s="186">
        <v>0</v>
      </c>
      <c r="D49" s="186">
        <v>264548292.74000004</v>
      </c>
      <c r="E49" s="186">
        <v>0</v>
      </c>
      <c r="F49" s="186">
        <v>10674717.02</v>
      </c>
      <c r="G49" s="186">
        <v>0</v>
      </c>
      <c r="H49" s="186">
        <v>275223009.76000005</v>
      </c>
      <c r="I49" s="113">
        <f t="shared" si="1"/>
        <v>0</v>
      </c>
      <c r="J49" s="233">
        <f t="shared" si="0"/>
        <v>10674717.020000011</v>
      </c>
      <c r="L49" s="190">
        <f>+SUM(F48:F53)</f>
        <v>38817562.530000001</v>
      </c>
    </row>
    <row r="50" spans="1:12">
      <c r="A50" s="226" t="s">
        <v>190</v>
      </c>
      <c r="B50" s="226" t="s">
        <v>191</v>
      </c>
      <c r="C50" s="186">
        <v>0</v>
      </c>
      <c r="D50" s="186">
        <v>331444780.39999998</v>
      </c>
      <c r="E50" s="186">
        <v>0</v>
      </c>
      <c r="F50" s="186">
        <v>13133827.369999997</v>
      </c>
      <c r="G50" s="186">
        <v>0</v>
      </c>
      <c r="H50" s="186">
        <v>344578607.76999992</v>
      </c>
      <c r="I50" s="113">
        <f t="shared" si="1"/>
        <v>0</v>
      </c>
      <c r="J50" s="233">
        <f t="shared" si="0"/>
        <v>13133827.369999945</v>
      </c>
      <c r="L50" s="190">
        <f>+L49-J136</f>
        <v>0</v>
      </c>
    </row>
    <row r="51" spans="1:12">
      <c r="A51" s="226" t="s">
        <v>188</v>
      </c>
      <c r="B51" s="226" t="s">
        <v>189</v>
      </c>
      <c r="C51" s="186">
        <v>0</v>
      </c>
      <c r="D51" s="186">
        <v>123247060.32999998</v>
      </c>
      <c r="E51" s="249">
        <v>834450.85</v>
      </c>
      <c r="F51" s="186">
        <v>5494017.6500000004</v>
      </c>
      <c r="G51" s="186">
        <v>0</v>
      </c>
      <c r="H51" s="186">
        <v>127906627.12999998</v>
      </c>
      <c r="I51" s="113">
        <f t="shared" si="1"/>
        <v>0</v>
      </c>
      <c r="J51" s="233">
        <f t="shared" si="0"/>
        <v>4659566.799999997</v>
      </c>
    </row>
    <row r="52" spans="1:12">
      <c r="A52" s="226" t="s">
        <v>194</v>
      </c>
      <c r="B52" s="226" t="s">
        <v>195</v>
      </c>
      <c r="C52" s="186">
        <v>0</v>
      </c>
      <c r="D52" s="186">
        <v>22452542.590000004</v>
      </c>
      <c r="E52" s="186">
        <v>0</v>
      </c>
      <c r="F52" s="186">
        <v>1172980.5900000001</v>
      </c>
      <c r="G52" s="186">
        <v>0</v>
      </c>
      <c r="H52" s="186">
        <v>23625523.180000003</v>
      </c>
      <c r="I52" s="113">
        <f t="shared" si="1"/>
        <v>0</v>
      </c>
      <c r="J52" s="233">
        <f t="shared" si="0"/>
        <v>1172980.5899999999</v>
      </c>
    </row>
    <row r="53" spans="1:12">
      <c r="A53" s="226" t="s">
        <v>192</v>
      </c>
      <c r="B53" s="226" t="s">
        <v>193</v>
      </c>
      <c r="C53" s="186">
        <v>0</v>
      </c>
      <c r="D53" s="186">
        <v>79558545.180000007</v>
      </c>
      <c r="E53" s="186">
        <v>0</v>
      </c>
      <c r="F53" s="186">
        <v>3234013.57</v>
      </c>
      <c r="G53" s="186">
        <v>0</v>
      </c>
      <c r="H53" s="186">
        <v>82792558.750000015</v>
      </c>
      <c r="I53" s="113">
        <f t="shared" si="1"/>
        <v>0</v>
      </c>
      <c r="J53" s="233">
        <f t="shared" si="0"/>
        <v>3234013.5700000077</v>
      </c>
    </row>
    <row r="54" spans="1:12">
      <c r="A54" s="102" t="s">
        <v>227</v>
      </c>
      <c r="B54" s="102" t="s">
        <v>228</v>
      </c>
      <c r="C54" s="186">
        <v>0</v>
      </c>
      <c r="D54" s="186">
        <v>85190134</v>
      </c>
      <c r="E54" s="186">
        <v>931276843</v>
      </c>
      <c r="F54" s="186">
        <v>846086709</v>
      </c>
      <c r="G54" s="186">
        <v>0</v>
      </c>
      <c r="H54" s="186">
        <v>0</v>
      </c>
      <c r="I54" s="113">
        <f t="shared" si="1"/>
        <v>0</v>
      </c>
      <c r="J54" s="113">
        <f t="shared" si="0"/>
        <v>-85190134</v>
      </c>
    </row>
    <row r="55" spans="1:12">
      <c r="A55" s="245" t="s">
        <v>222</v>
      </c>
      <c r="B55" s="245" t="s">
        <v>223</v>
      </c>
      <c r="C55" s="186">
        <v>0</v>
      </c>
      <c r="D55" s="186">
        <v>0</v>
      </c>
      <c r="E55" s="186">
        <v>1955099539</v>
      </c>
      <c r="F55" s="186">
        <v>2711065178</v>
      </c>
      <c r="G55" s="186">
        <v>0</v>
      </c>
      <c r="H55" s="186">
        <v>755965639</v>
      </c>
      <c r="I55" s="113">
        <f t="shared" si="1"/>
        <v>0</v>
      </c>
      <c r="J55" s="246">
        <f t="shared" si="0"/>
        <v>755965639</v>
      </c>
    </row>
    <row r="56" spans="1:12">
      <c r="A56" s="245" t="s">
        <v>224</v>
      </c>
      <c r="B56" s="245" t="s">
        <v>225</v>
      </c>
      <c r="C56" s="186">
        <v>0</v>
      </c>
      <c r="D56" s="186">
        <v>35835753400</v>
      </c>
      <c r="E56" s="186">
        <v>11019585273</v>
      </c>
      <c r="F56" s="186">
        <v>6394665813</v>
      </c>
      <c r="G56" s="186">
        <v>0</v>
      </c>
      <c r="H56" s="186">
        <v>31210833940</v>
      </c>
      <c r="I56" s="113">
        <f t="shared" si="1"/>
        <v>0</v>
      </c>
      <c r="J56" s="246">
        <f t="shared" si="0"/>
        <v>-4624919460</v>
      </c>
    </row>
    <row r="57" spans="1:12">
      <c r="A57" s="245" t="s">
        <v>290</v>
      </c>
      <c r="B57" s="245" t="s">
        <v>291</v>
      </c>
      <c r="C57" s="186">
        <v>0</v>
      </c>
      <c r="D57" s="186">
        <v>0</v>
      </c>
      <c r="E57" s="186">
        <v>0</v>
      </c>
      <c r="F57" s="186">
        <v>0</v>
      </c>
      <c r="G57" s="186">
        <v>0</v>
      </c>
      <c r="H57" s="186">
        <v>0</v>
      </c>
      <c r="I57" s="113">
        <f t="shared" si="1"/>
        <v>0</v>
      </c>
      <c r="J57" s="246">
        <f t="shared" si="0"/>
        <v>0</v>
      </c>
    </row>
    <row r="58" spans="1:12">
      <c r="A58" s="245" t="s">
        <v>220</v>
      </c>
      <c r="B58" s="245" t="s">
        <v>221</v>
      </c>
      <c r="C58" s="186">
        <v>1.3425946235656738E-5</v>
      </c>
      <c r="D58" s="186">
        <v>0</v>
      </c>
      <c r="E58" s="186">
        <v>0</v>
      </c>
      <c r="F58" s="186">
        <v>0</v>
      </c>
      <c r="G58" s="186">
        <v>1.3425946235656738E-5</v>
      </c>
      <c r="H58" s="186">
        <v>0</v>
      </c>
      <c r="I58" s="113">
        <f t="shared" si="1"/>
        <v>0</v>
      </c>
      <c r="J58" s="246">
        <f t="shared" si="0"/>
        <v>0</v>
      </c>
    </row>
    <row r="59" spans="1:12">
      <c r="A59" s="102" t="s">
        <v>230</v>
      </c>
      <c r="B59" s="102" t="s">
        <v>231</v>
      </c>
      <c r="C59" s="186">
        <v>0</v>
      </c>
      <c r="D59" s="186">
        <v>0</v>
      </c>
      <c r="E59" s="186">
        <v>0</v>
      </c>
      <c r="F59" s="186">
        <v>217820061.22</v>
      </c>
      <c r="G59" s="186">
        <v>0</v>
      </c>
      <c r="H59" s="186">
        <v>217820061.22</v>
      </c>
      <c r="I59" s="113">
        <f t="shared" si="1"/>
        <v>0</v>
      </c>
      <c r="J59" s="113">
        <f t="shared" si="0"/>
        <v>217820061.22</v>
      </c>
    </row>
    <row r="60" spans="1:12">
      <c r="A60" s="251" t="s">
        <v>233</v>
      </c>
      <c r="B60" s="251" t="s">
        <v>292</v>
      </c>
      <c r="C60" s="186">
        <v>0</v>
      </c>
      <c r="D60" s="186">
        <v>8423359.9999990463</v>
      </c>
      <c r="E60" s="186">
        <v>12588800</v>
      </c>
      <c r="F60" s="186">
        <v>6281040</v>
      </c>
      <c r="G60" s="186">
        <v>0</v>
      </c>
      <c r="H60" s="186">
        <v>2115599.9999990463</v>
      </c>
      <c r="I60" s="113">
        <f t="shared" si="1"/>
        <v>0</v>
      </c>
      <c r="J60" s="252">
        <f t="shared" si="0"/>
        <v>-6307760</v>
      </c>
    </row>
    <row r="61" spans="1:12">
      <c r="A61" s="251" t="s">
        <v>235</v>
      </c>
      <c r="B61" s="251" t="s">
        <v>236</v>
      </c>
      <c r="C61" s="186">
        <v>0</v>
      </c>
      <c r="D61" s="186">
        <v>0</v>
      </c>
      <c r="E61" s="186">
        <v>0</v>
      </c>
      <c r="F61" s="186">
        <v>0</v>
      </c>
      <c r="G61" s="186">
        <v>0</v>
      </c>
      <c r="H61" s="186">
        <v>0</v>
      </c>
      <c r="I61" s="113">
        <f t="shared" si="1"/>
        <v>0</v>
      </c>
      <c r="J61" s="252">
        <f t="shared" si="0"/>
        <v>0</v>
      </c>
    </row>
    <row r="62" spans="1:12">
      <c r="A62" s="251" t="s">
        <v>237</v>
      </c>
      <c r="B62" s="251" t="s">
        <v>238</v>
      </c>
      <c r="C62" s="186">
        <v>0</v>
      </c>
      <c r="D62" s="186">
        <v>12550599.889999986</v>
      </c>
      <c r="E62" s="186">
        <v>21223017</v>
      </c>
      <c r="F62" s="186">
        <v>30204688</v>
      </c>
      <c r="G62" s="186">
        <v>0</v>
      </c>
      <c r="H62" s="186">
        <v>21532270.889999986</v>
      </c>
      <c r="I62" s="113">
        <f t="shared" si="1"/>
        <v>0</v>
      </c>
      <c r="J62" s="252">
        <f t="shared" si="0"/>
        <v>8981671</v>
      </c>
    </row>
    <row r="63" spans="1:12">
      <c r="A63" s="251" t="s">
        <v>250</v>
      </c>
      <c r="B63" s="251" t="s">
        <v>251</v>
      </c>
      <c r="C63" s="186">
        <v>0</v>
      </c>
      <c r="D63" s="186">
        <v>129344996.98000002</v>
      </c>
      <c r="E63" s="186">
        <v>30900896.979999997</v>
      </c>
      <c r="F63" s="186">
        <v>53874793.859999999</v>
      </c>
      <c r="G63" s="186">
        <v>0</v>
      </c>
      <c r="H63" s="186">
        <v>152318893.86000001</v>
      </c>
      <c r="I63" s="113">
        <f t="shared" si="1"/>
        <v>0</v>
      </c>
      <c r="J63" s="252">
        <f t="shared" si="0"/>
        <v>22973896.879999995</v>
      </c>
    </row>
    <row r="64" spans="1:12">
      <c r="A64" s="251" t="s">
        <v>240</v>
      </c>
      <c r="B64" s="251" t="s">
        <v>241</v>
      </c>
      <c r="C64" s="186">
        <v>0</v>
      </c>
      <c r="D64" s="186">
        <v>21035391</v>
      </c>
      <c r="E64" s="186">
        <v>21035391</v>
      </c>
      <c r="F64" s="186">
        <v>20658709.5</v>
      </c>
      <c r="G64" s="186">
        <v>0</v>
      </c>
      <c r="H64" s="186">
        <v>20658709.5</v>
      </c>
      <c r="I64" s="113">
        <f t="shared" si="1"/>
        <v>0</v>
      </c>
      <c r="J64" s="252">
        <f t="shared" si="0"/>
        <v>-376681.5</v>
      </c>
    </row>
    <row r="65" spans="1:14">
      <c r="A65" s="251" t="s">
        <v>244</v>
      </c>
      <c r="B65" s="251" t="s">
        <v>245</v>
      </c>
      <c r="C65" s="186">
        <v>0</v>
      </c>
      <c r="D65" s="186">
        <v>2551176</v>
      </c>
      <c r="E65" s="186">
        <v>2551176</v>
      </c>
      <c r="F65" s="186">
        <v>2505492</v>
      </c>
      <c r="G65" s="186">
        <v>0</v>
      </c>
      <c r="H65" s="186">
        <v>2505492</v>
      </c>
      <c r="I65" s="113">
        <f t="shared" si="1"/>
        <v>0</v>
      </c>
      <c r="J65" s="252">
        <f t="shared" si="0"/>
        <v>-45684</v>
      </c>
    </row>
    <row r="66" spans="1:14">
      <c r="A66" s="251" t="s">
        <v>248</v>
      </c>
      <c r="B66" s="251" t="s">
        <v>249</v>
      </c>
      <c r="C66" s="186">
        <v>0</v>
      </c>
      <c r="D66" s="186">
        <v>481298159.99999994</v>
      </c>
      <c r="E66" s="186">
        <v>12582736</v>
      </c>
      <c r="F66" s="186">
        <v>73583103.650000006</v>
      </c>
      <c r="G66" s="186">
        <v>0</v>
      </c>
      <c r="H66" s="186">
        <v>542298527.64999998</v>
      </c>
      <c r="I66" s="113">
        <f t="shared" si="1"/>
        <v>0</v>
      </c>
      <c r="J66" s="252">
        <f t="shared" si="0"/>
        <v>61000367.650000036</v>
      </c>
    </row>
    <row r="67" spans="1:14">
      <c r="A67" s="251" t="s">
        <v>252</v>
      </c>
      <c r="B67" s="251" t="s">
        <v>253</v>
      </c>
      <c r="C67" s="186">
        <v>0</v>
      </c>
      <c r="D67" s="186">
        <v>0</v>
      </c>
      <c r="E67" s="186">
        <v>0</v>
      </c>
      <c r="F67" s="186">
        <v>0</v>
      </c>
      <c r="G67" s="186">
        <v>0</v>
      </c>
      <c r="H67" s="186">
        <v>0</v>
      </c>
      <c r="I67" s="113">
        <f t="shared" si="1"/>
        <v>0</v>
      </c>
      <c r="J67" s="252">
        <f t="shared" si="0"/>
        <v>0</v>
      </c>
    </row>
    <row r="68" spans="1:14">
      <c r="A68" s="251" t="s">
        <v>242</v>
      </c>
      <c r="B68" s="251" t="s">
        <v>243</v>
      </c>
      <c r="C68" s="186">
        <v>0</v>
      </c>
      <c r="D68" s="186">
        <v>7236220</v>
      </c>
      <c r="E68" s="186">
        <v>7236220</v>
      </c>
      <c r="F68" s="186">
        <v>7231990</v>
      </c>
      <c r="G68" s="186">
        <v>0</v>
      </c>
      <c r="H68" s="186">
        <v>7231990</v>
      </c>
      <c r="I68" s="113">
        <f t="shared" si="1"/>
        <v>0</v>
      </c>
      <c r="J68" s="252">
        <f t="shared" si="0"/>
        <v>-4230</v>
      </c>
    </row>
    <row r="69" spans="1:14">
      <c r="A69" s="243" t="s">
        <v>246</v>
      </c>
      <c r="B69" s="243" t="s">
        <v>247</v>
      </c>
      <c r="C69" s="186">
        <v>0</v>
      </c>
      <c r="D69" s="186">
        <v>290706739.69000047</v>
      </c>
      <c r="E69" s="186">
        <v>0</v>
      </c>
      <c r="F69" s="186">
        <v>0</v>
      </c>
      <c r="G69" s="186">
        <v>0</v>
      </c>
      <c r="H69" s="186">
        <v>290706739.69000047</v>
      </c>
      <c r="I69" s="113">
        <f t="shared" si="1"/>
        <v>0</v>
      </c>
      <c r="J69" s="244">
        <f t="shared" si="0"/>
        <v>0</v>
      </c>
    </row>
    <row r="70" spans="1:14">
      <c r="A70" s="243" t="s">
        <v>293</v>
      </c>
      <c r="B70" s="243" t="s">
        <v>294</v>
      </c>
      <c r="C70" s="186">
        <v>0</v>
      </c>
      <c r="D70" s="186">
        <v>0</v>
      </c>
      <c r="E70" s="186">
        <v>0</v>
      </c>
      <c r="F70" s="186">
        <v>0</v>
      </c>
      <c r="G70" s="186">
        <v>0</v>
      </c>
      <c r="H70" s="186">
        <v>0</v>
      </c>
      <c r="I70" s="113">
        <f t="shared" ref="I70:I75" si="2">+G70-C70</f>
        <v>0</v>
      </c>
      <c r="J70" s="244">
        <f t="shared" ref="J70:J74" si="3">+H70-D70</f>
        <v>0</v>
      </c>
    </row>
    <row r="71" spans="1:14">
      <c r="A71" s="243" t="s">
        <v>254</v>
      </c>
      <c r="B71" s="243" t="s">
        <v>255</v>
      </c>
      <c r="C71" s="186">
        <v>0</v>
      </c>
      <c r="D71" s="186">
        <v>0</v>
      </c>
      <c r="E71" s="186">
        <v>0</v>
      </c>
      <c r="F71" s="186">
        <v>0</v>
      </c>
      <c r="G71" s="186">
        <v>0</v>
      </c>
      <c r="H71" s="186">
        <v>0</v>
      </c>
      <c r="I71" s="113">
        <f t="shared" si="2"/>
        <v>0</v>
      </c>
      <c r="J71" s="244">
        <f t="shared" si="3"/>
        <v>0</v>
      </c>
      <c r="L71" s="205">
        <f>+SUM(J54:J71)</f>
        <v>-3650102313.75</v>
      </c>
    </row>
    <row r="72" spans="1:14">
      <c r="A72" s="289" t="s">
        <v>257</v>
      </c>
      <c r="B72" s="289" t="s">
        <v>258</v>
      </c>
      <c r="C72" s="186">
        <v>0</v>
      </c>
      <c r="D72" s="186">
        <v>100000000000</v>
      </c>
      <c r="E72" s="186">
        <v>0</v>
      </c>
      <c r="F72" s="186">
        <v>0</v>
      </c>
      <c r="G72" s="186">
        <v>0</v>
      </c>
      <c r="H72" s="186">
        <v>100000000000</v>
      </c>
      <c r="I72" s="113">
        <f t="shared" si="2"/>
        <v>0</v>
      </c>
      <c r="J72" s="290">
        <f t="shared" si="3"/>
        <v>0</v>
      </c>
      <c r="L72" s="293">
        <f>+L71-'Cash flow statement '!G36</f>
        <v>0</v>
      </c>
      <c r="N72" s="103" t="s">
        <v>642</v>
      </c>
    </row>
    <row r="73" spans="1:14">
      <c r="A73" s="289" t="s">
        <v>260</v>
      </c>
      <c r="B73" s="289" t="s">
        <v>261</v>
      </c>
      <c r="C73" s="186">
        <v>0</v>
      </c>
      <c r="D73" s="186">
        <v>191823715.77000001</v>
      </c>
      <c r="E73" s="186">
        <v>0</v>
      </c>
      <c r="F73" s="186">
        <v>0</v>
      </c>
      <c r="G73" s="186">
        <v>0</v>
      </c>
      <c r="H73" s="186">
        <v>191823715.77000001</v>
      </c>
      <c r="I73" s="113">
        <f t="shared" si="2"/>
        <v>0</v>
      </c>
      <c r="J73" s="290">
        <f t="shared" si="3"/>
        <v>0</v>
      </c>
    </row>
    <row r="74" spans="1:14">
      <c r="A74" s="289" t="s">
        <v>263</v>
      </c>
      <c r="B74" s="289" t="s">
        <v>264</v>
      </c>
      <c r="C74" s="186">
        <v>0</v>
      </c>
      <c r="D74" s="186">
        <v>0</v>
      </c>
      <c r="E74" s="186">
        <v>0</v>
      </c>
      <c r="F74" s="186">
        <v>0</v>
      </c>
      <c r="G74" s="186">
        <v>0</v>
      </c>
      <c r="H74" s="186">
        <v>0</v>
      </c>
      <c r="I74" s="113">
        <f t="shared" si="2"/>
        <v>0</v>
      </c>
      <c r="J74" s="290">
        <f t="shared" si="3"/>
        <v>0</v>
      </c>
    </row>
    <row r="75" spans="1:14">
      <c r="A75" s="292" t="s">
        <v>627</v>
      </c>
      <c r="B75" s="292" t="s">
        <v>628</v>
      </c>
      <c r="C75" s="186">
        <v>0</v>
      </c>
      <c r="D75" s="186">
        <v>3764215550.0900002</v>
      </c>
      <c r="E75" s="186">
        <v>0</v>
      </c>
      <c r="F75" s="186">
        <v>35663705</v>
      </c>
      <c r="G75" s="186">
        <v>0</v>
      </c>
      <c r="H75" s="186">
        <v>3799879255.0900002</v>
      </c>
      <c r="I75" s="113">
        <f t="shared" si="2"/>
        <v>0</v>
      </c>
      <c r="J75" s="291">
        <f>+H75-D75</f>
        <v>35663705</v>
      </c>
    </row>
    <row r="76" spans="1:14" s="188" customFormat="1">
      <c r="A76" s="176"/>
      <c r="B76" s="176" t="s">
        <v>638</v>
      </c>
      <c r="C76" s="177">
        <f>SUM(C5:C75)</f>
        <v>142341912343.02005</v>
      </c>
      <c r="D76" s="177">
        <f t="shared" ref="D76:H76" si="4">SUM(D5:D75)</f>
        <v>141713643649.38</v>
      </c>
      <c r="E76" s="177">
        <f t="shared" si="4"/>
        <v>28510511226.830002</v>
      </c>
      <c r="F76" s="177">
        <f t="shared" si="4"/>
        <v>28509641327.420006</v>
      </c>
      <c r="G76" s="177">
        <f t="shared" si="4"/>
        <v>138766326745.36002</v>
      </c>
      <c r="H76" s="177">
        <f t="shared" si="4"/>
        <v>138137188152.31003</v>
      </c>
      <c r="I76" s="189">
        <f>SUM(I5:I75)</f>
        <v>-3575585597.6599998</v>
      </c>
      <c r="J76" s="189">
        <f>SUM(J5:J75)</f>
        <v>-3576455497.0700002</v>
      </c>
    </row>
    <row r="77" spans="1:14" s="188" customFormat="1">
      <c r="A77" s="176"/>
      <c r="B77" s="176" t="s">
        <v>640</v>
      </c>
      <c r="C77" s="177"/>
      <c r="D77" s="177">
        <f>+C76-D76</f>
        <v>628268693.64004517</v>
      </c>
      <c r="E77" s="177"/>
      <c r="F77" s="177">
        <f>+E76-F76</f>
        <v>869899.40999603271</v>
      </c>
      <c r="G77" s="177"/>
      <c r="H77" s="177">
        <f>+G76-H76</f>
        <v>629138593.04998779</v>
      </c>
      <c r="J77" s="189">
        <f>+I76-J76</f>
        <v>869899.41000032425</v>
      </c>
      <c r="K77" s="247">
        <f>+J77-F77</f>
        <v>4.291534423828125E-6</v>
      </c>
    </row>
    <row r="78" spans="1:14" s="237" customFormat="1">
      <c r="A78" s="226"/>
      <c r="B78" s="226"/>
      <c r="C78" s="236"/>
      <c r="D78" s="236"/>
      <c r="E78" s="236"/>
      <c r="F78" s="236"/>
      <c r="G78" s="236"/>
      <c r="H78" s="236"/>
    </row>
    <row r="79" spans="1:14">
      <c r="A79" s="102"/>
      <c r="B79" s="102"/>
      <c r="C79" s="186"/>
      <c r="D79" s="186"/>
      <c r="E79" s="186"/>
      <c r="F79" s="186"/>
      <c r="G79" s="186"/>
      <c r="H79" s="186"/>
    </row>
    <row r="80" spans="1:14">
      <c r="A80" s="102"/>
      <c r="B80" s="102"/>
      <c r="C80" s="200" t="s">
        <v>272</v>
      </c>
      <c r="D80" s="200" t="s">
        <v>273</v>
      </c>
      <c r="E80" s="200" t="s">
        <v>272</v>
      </c>
      <c r="F80" s="200" t="s">
        <v>273</v>
      </c>
      <c r="G80" s="200" t="s">
        <v>272</v>
      </c>
      <c r="H80" s="200" t="s">
        <v>273</v>
      </c>
      <c r="I80" s="199" t="s">
        <v>640</v>
      </c>
    </row>
    <row r="81" spans="1:9">
      <c r="A81" s="102" t="s">
        <v>297</v>
      </c>
      <c r="B81" s="102" t="s">
        <v>298</v>
      </c>
      <c r="C81" s="186">
        <v>42193671</v>
      </c>
      <c r="D81" s="186">
        <v>0</v>
      </c>
      <c r="E81" s="186">
        <v>20658709.5</v>
      </c>
      <c r="F81" s="186">
        <v>0</v>
      </c>
      <c r="G81" s="186">
        <v>62852380.5</v>
      </c>
      <c r="H81" s="186">
        <v>0</v>
      </c>
      <c r="I81" s="180">
        <f>+F81-E81</f>
        <v>-20658709.5</v>
      </c>
    </row>
    <row r="82" spans="1:9">
      <c r="A82" s="102" t="s">
        <v>299</v>
      </c>
      <c r="B82" s="102" t="s">
        <v>300</v>
      </c>
      <c r="C82" s="186">
        <v>5117256</v>
      </c>
      <c r="D82" s="186">
        <v>0</v>
      </c>
      <c r="E82" s="186">
        <v>2505492</v>
      </c>
      <c r="F82" s="186">
        <v>0</v>
      </c>
      <c r="G82" s="186">
        <v>7622748</v>
      </c>
      <c r="H82" s="186">
        <v>0</v>
      </c>
      <c r="I82" s="180">
        <f t="shared" ref="I82:I145" si="5">+F82-E82</f>
        <v>-2505492</v>
      </c>
    </row>
    <row r="83" spans="1:9">
      <c r="A83" s="102" t="s">
        <v>301</v>
      </c>
      <c r="B83" s="102" t="s">
        <v>302</v>
      </c>
      <c r="C83" s="186">
        <v>595999.21</v>
      </c>
      <c r="D83" s="186">
        <v>0</v>
      </c>
      <c r="E83" s="186">
        <v>215998.21000000005</v>
      </c>
      <c r="F83" s="186">
        <v>0</v>
      </c>
      <c r="G83" s="186">
        <v>811997.42</v>
      </c>
      <c r="H83" s="186">
        <v>0</v>
      </c>
      <c r="I83" s="180">
        <f t="shared" si="5"/>
        <v>-215998.21000000005</v>
      </c>
    </row>
    <row r="84" spans="1:9">
      <c r="A84" s="102" t="s">
        <v>303</v>
      </c>
      <c r="B84" s="102" t="s">
        <v>304</v>
      </c>
      <c r="C84" s="186">
        <v>315609677</v>
      </c>
      <c r="D84" s="186">
        <v>0</v>
      </c>
      <c r="E84" s="186">
        <v>156450000</v>
      </c>
      <c r="F84" s="186">
        <v>0</v>
      </c>
      <c r="G84" s="186">
        <v>472059677</v>
      </c>
      <c r="H84" s="186">
        <v>0</v>
      </c>
      <c r="I84" s="180">
        <f t="shared" si="5"/>
        <v>-156450000</v>
      </c>
    </row>
    <row r="85" spans="1:9">
      <c r="A85" s="102" t="s">
        <v>307</v>
      </c>
      <c r="B85" s="102" t="s">
        <v>308</v>
      </c>
      <c r="C85" s="186">
        <v>49802667</v>
      </c>
      <c r="D85" s="186">
        <v>0</v>
      </c>
      <c r="E85" s="186">
        <v>1020750</v>
      </c>
      <c r="F85" s="186">
        <v>0</v>
      </c>
      <c r="G85" s="186">
        <v>50823417</v>
      </c>
      <c r="H85" s="186">
        <v>0</v>
      </c>
      <c r="I85" s="180">
        <f t="shared" si="5"/>
        <v>-1020750</v>
      </c>
    </row>
    <row r="86" spans="1:9">
      <c r="A86" s="102" t="s">
        <v>311</v>
      </c>
      <c r="B86" s="102" t="s">
        <v>312</v>
      </c>
      <c r="C86" s="186">
        <v>19927799.600000001</v>
      </c>
      <c r="D86" s="186">
        <v>0</v>
      </c>
      <c r="E86" s="186">
        <v>10170856.590000002</v>
      </c>
      <c r="F86" s="186">
        <v>0</v>
      </c>
      <c r="G86" s="186">
        <v>30098656.190000005</v>
      </c>
      <c r="H86" s="186">
        <v>0</v>
      </c>
      <c r="I86" s="180">
        <f t="shared" si="5"/>
        <v>-10170856.590000002</v>
      </c>
    </row>
    <row r="87" spans="1:9">
      <c r="A87" s="102" t="s">
        <v>313</v>
      </c>
      <c r="B87" s="102" t="s">
        <v>314</v>
      </c>
      <c r="C87" s="186">
        <v>0</v>
      </c>
      <c r="D87" s="186">
        <v>0</v>
      </c>
      <c r="E87" s="186">
        <v>500000</v>
      </c>
      <c r="F87" s="186">
        <v>0</v>
      </c>
      <c r="G87" s="186">
        <v>500000</v>
      </c>
      <c r="H87" s="186">
        <v>0</v>
      </c>
      <c r="I87" s="180">
        <f t="shared" si="5"/>
        <v>-500000</v>
      </c>
    </row>
    <row r="88" spans="1:9">
      <c r="A88" s="102" t="s">
        <v>315</v>
      </c>
      <c r="B88" s="102" t="s">
        <v>316</v>
      </c>
      <c r="C88" s="186">
        <v>34083871</v>
      </c>
      <c r="D88" s="186">
        <v>0</v>
      </c>
      <c r="E88" s="186">
        <v>16800000</v>
      </c>
      <c r="F88" s="186">
        <v>0</v>
      </c>
      <c r="G88" s="186">
        <v>50883871</v>
      </c>
      <c r="H88" s="186">
        <v>0</v>
      </c>
      <c r="I88" s="180">
        <f t="shared" si="5"/>
        <v>-16800000</v>
      </c>
    </row>
    <row r="89" spans="1:9">
      <c r="A89" s="102" t="s">
        <v>317</v>
      </c>
      <c r="B89" s="102" t="s">
        <v>318</v>
      </c>
      <c r="C89" s="186">
        <v>14000000</v>
      </c>
      <c r="D89" s="186">
        <v>0</v>
      </c>
      <c r="E89" s="186">
        <v>6800000</v>
      </c>
      <c r="F89" s="186">
        <v>0</v>
      </c>
      <c r="G89" s="186">
        <v>20800000</v>
      </c>
      <c r="H89" s="186">
        <v>0</v>
      </c>
      <c r="I89" s="180">
        <f t="shared" si="5"/>
        <v>-6800000</v>
      </c>
    </row>
    <row r="90" spans="1:9">
      <c r="A90" s="102" t="s">
        <v>319</v>
      </c>
      <c r="B90" s="102" t="s">
        <v>320</v>
      </c>
      <c r="C90" s="186">
        <v>10736842</v>
      </c>
      <c r="D90" s="186">
        <v>0</v>
      </c>
      <c r="E90" s="186">
        <v>0</v>
      </c>
      <c r="F90" s="186">
        <v>0</v>
      </c>
      <c r="G90" s="186">
        <v>10736842</v>
      </c>
      <c r="H90" s="186">
        <v>0</v>
      </c>
      <c r="I90" s="180">
        <f t="shared" si="5"/>
        <v>0</v>
      </c>
    </row>
    <row r="91" spans="1:9">
      <c r="A91" s="102" t="s">
        <v>321</v>
      </c>
      <c r="B91" s="102" t="s">
        <v>322</v>
      </c>
      <c r="C91" s="186">
        <v>5000000</v>
      </c>
      <c r="D91" s="186">
        <v>0</v>
      </c>
      <c r="E91" s="186">
        <v>11506000</v>
      </c>
      <c r="F91" s="186">
        <v>0</v>
      </c>
      <c r="G91" s="186">
        <v>16506000</v>
      </c>
      <c r="H91" s="186">
        <v>0</v>
      </c>
      <c r="I91" s="180">
        <f t="shared" si="5"/>
        <v>-11506000</v>
      </c>
    </row>
    <row r="92" spans="1:9">
      <c r="A92" s="102" t="s">
        <v>327</v>
      </c>
      <c r="B92" s="102" t="s">
        <v>328</v>
      </c>
      <c r="C92" s="186">
        <v>500000</v>
      </c>
      <c r="D92" s="186">
        <v>0</v>
      </c>
      <c r="E92" s="186">
        <v>300000</v>
      </c>
      <c r="F92" s="186">
        <v>0</v>
      </c>
      <c r="G92" s="186">
        <v>800000</v>
      </c>
      <c r="H92" s="186">
        <v>0</v>
      </c>
      <c r="I92" s="180">
        <f t="shared" si="5"/>
        <v>-300000</v>
      </c>
    </row>
    <row r="93" spans="1:9">
      <c r="A93" s="102" t="s">
        <v>329</v>
      </c>
      <c r="B93" s="102" t="s">
        <v>330</v>
      </c>
      <c r="C93" s="186">
        <v>4087400</v>
      </c>
      <c r="D93" s="186">
        <v>0</v>
      </c>
      <c r="E93" s="186">
        <v>0</v>
      </c>
      <c r="F93" s="186">
        <v>0</v>
      </c>
      <c r="G93" s="186">
        <v>4087400</v>
      </c>
      <c r="H93" s="186">
        <v>0</v>
      </c>
      <c r="I93" s="180">
        <f t="shared" si="5"/>
        <v>0</v>
      </c>
    </row>
    <row r="94" spans="1:9">
      <c r="A94" s="102" t="s">
        <v>331</v>
      </c>
      <c r="B94" s="102" t="s">
        <v>332</v>
      </c>
      <c r="C94" s="186">
        <v>4396000</v>
      </c>
      <c r="D94" s="186">
        <v>0</v>
      </c>
      <c r="E94" s="186">
        <v>2276000</v>
      </c>
      <c r="F94" s="186">
        <v>0</v>
      </c>
      <c r="G94" s="186">
        <v>6672000</v>
      </c>
      <c r="H94" s="186">
        <v>0</v>
      </c>
      <c r="I94" s="180">
        <f t="shared" si="5"/>
        <v>-2276000</v>
      </c>
    </row>
    <row r="95" spans="1:9">
      <c r="A95" s="102" t="s">
        <v>333</v>
      </c>
      <c r="B95" s="102" t="s">
        <v>334</v>
      </c>
      <c r="C95" s="186">
        <v>6000000</v>
      </c>
      <c r="D95" s="186">
        <v>0</v>
      </c>
      <c r="E95" s="186">
        <v>3000000</v>
      </c>
      <c r="F95" s="186">
        <v>0</v>
      </c>
      <c r="G95" s="186">
        <v>9000000</v>
      </c>
      <c r="H95" s="186">
        <v>0</v>
      </c>
      <c r="I95" s="180">
        <f t="shared" si="5"/>
        <v>-3000000</v>
      </c>
    </row>
    <row r="96" spans="1:9">
      <c r="A96" s="102" t="s">
        <v>341</v>
      </c>
      <c r="B96" s="102" t="s">
        <v>342</v>
      </c>
      <c r="C96" s="186">
        <v>78283168.290000007</v>
      </c>
      <c r="D96" s="186">
        <v>0</v>
      </c>
      <c r="E96" s="186">
        <v>41136711.239999995</v>
      </c>
      <c r="F96" s="186">
        <v>0</v>
      </c>
      <c r="G96" s="186">
        <v>119419879.53</v>
      </c>
      <c r="H96" s="186">
        <v>0</v>
      </c>
      <c r="I96" s="180">
        <f t="shared" si="5"/>
        <v>-41136711.239999995</v>
      </c>
    </row>
    <row r="97" spans="1:9">
      <c r="A97" s="102" t="s">
        <v>343</v>
      </c>
      <c r="B97" s="102" t="s">
        <v>344</v>
      </c>
      <c r="C97" s="186">
        <v>55000</v>
      </c>
      <c r="D97" s="186">
        <v>0</v>
      </c>
      <c r="E97" s="186">
        <v>14000</v>
      </c>
      <c r="F97" s="186">
        <v>0</v>
      </c>
      <c r="G97" s="186">
        <v>69000</v>
      </c>
      <c r="H97" s="186">
        <v>0</v>
      </c>
      <c r="I97" s="180">
        <f t="shared" si="5"/>
        <v>-14000</v>
      </c>
    </row>
    <row r="98" spans="1:9">
      <c r="A98" s="102" t="s">
        <v>345</v>
      </c>
      <c r="B98" s="102" t="s">
        <v>346</v>
      </c>
      <c r="C98" s="186">
        <v>960000</v>
      </c>
      <c r="D98" s="186">
        <v>0</v>
      </c>
      <c r="E98" s="186">
        <v>571780</v>
      </c>
      <c r="F98" s="186">
        <v>0</v>
      </c>
      <c r="G98" s="186">
        <v>1531780</v>
      </c>
      <c r="H98" s="186">
        <v>0</v>
      </c>
      <c r="I98" s="180">
        <f t="shared" si="5"/>
        <v>-571780</v>
      </c>
    </row>
    <row r="99" spans="1:9">
      <c r="A99" s="102" t="s">
        <v>347</v>
      </c>
      <c r="B99" s="102" t="s">
        <v>348</v>
      </c>
      <c r="C99" s="186">
        <v>940000</v>
      </c>
      <c r="D99" s="186">
        <v>0</v>
      </c>
      <c r="E99" s="186">
        <v>0</v>
      </c>
      <c r="F99" s="186">
        <v>0</v>
      </c>
      <c r="G99" s="186">
        <v>940000</v>
      </c>
      <c r="H99" s="186">
        <v>0</v>
      </c>
      <c r="I99" s="180">
        <f t="shared" si="5"/>
        <v>0</v>
      </c>
    </row>
    <row r="100" spans="1:9">
      <c r="A100" s="102" t="s">
        <v>349</v>
      </c>
      <c r="B100" s="102" t="s">
        <v>350</v>
      </c>
      <c r="C100" s="186">
        <v>62906271.729999989</v>
      </c>
      <c r="D100" s="186">
        <v>0</v>
      </c>
      <c r="E100" s="186">
        <v>17004201</v>
      </c>
      <c r="F100" s="186">
        <v>0</v>
      </c>
      <c r="G100" s="186">
        <v>79910472.729999989</v>
      </c>
      <c r="H100" s="186">
        <v>0</v>
      </c>
      <c r="I100" s="180">
        <f t="shared" si="5"/>
        <v>-17004201</v>
      </c>
    </row>
    <row r="101" spans="1:9">
      <c r="A101" s="102" t="s">
        <v>351</v>
      </c>
      <c r="B101" s="102" t="s">
        <v>352</v>
      </c>
      <c r="C101" s="186">
        <v>41937507.149999999</v>
      </c>
      <c r="D101" s="186">
        <v>0</v>
      </c>
      <c r="E101" s="186">
        <v>11336133</v>
      </c>
      <c r="F101" s="186">
        <v>0</v>
      </c>
      <c r="G101" s="186">
        <v>53273640.149999999</v>
      </c>
      <c r="H101" s="186">
        <v>0</v>
      </c>
      <c r="I101" s="180">
        <f t="shared" si="5"/>
        <v>-11336133</v>
      </c>
    </row>
    <row r="102" spans="1:9">
      <c r="A102" s="102" t="s">
        <v>353</v>
      </c>
      <c r="B102" s="102" t="s">
        <v>354</v>
      </c>
      <c r="C102" s="186">
        <v>43937507.149999999</v>
      </c>
      <c r="D102" s="186">
        <v>0</v>
      </c>
      <c r="E102" s="186">
        <v>11336133</v>
      </c>
      <c r="F102" s="186">
        <v>0</v>
      </c>
      <c r="G102" s="186">
        <v>55273640.149999999</v>
      </c>
      <c r="H102" s="186">
        <v>0</v>
      </c>
      <c r="I102" s="180">
        <f t="shared" si="5"/>
        <v>-11336133</v>
      </c>
    </row>
    <row r="103" spans="1:9">
      <c r="A103" s="102" t="s">
        <v>355</v>
      </c>
      <c r="B103" s="102" t="s">
        <v>356</v>
      </c>
      <c r="C103" s="186">
        <v>0</v>
      </c>
      <c r="D103" s="186">
        <v>0</v>
      </c>
      <c r="E103" s="186">
        <v>20186016</v>
      </c>
      <c r="F103" s="186">
        <v>20186016</v>
      </c>
      <c r="G103" s="186">
        <v>0</v>
      </c>
      <c r="H103" s="186">
        <v>0</v>
      </c>
      <c r="I103" s="180">
        <f t="shared" si="5"/>
        <v>0</v>
      </c>
    </row>
    <row r="104" spans="1:9">
      <c r="A104" s="102" t="s">
        <v>357</v>
      </c>
      <c r="B104" s="102" t="s">
        <v>358</v>
      </c>
      <c r="C104" s="186">
        <v>83875035.290000007</v>
      </c>
      <c r="D104" s="186">
        <v>0</v>
      </c>
      <c r="E104" s="186">
        <v>22672273</v>
      </c>
      <c r="F104" s="186">
        <v>0</v>
      </c>
      <c r="G104" s="186">
        <v>106547308.29000001</v>
      </c>
      <c r="H104" s="186">
        <v>0</v>
      </c>
      <c r="I104" s="180">
        <f t="shared" si="5"/>
        <v>-22672273</v>
      </c>
    </row>
    <row r="105" spans="1:9">
      <c r="A105" s="102" t="s">
        <v>361</v>
      </c>
      <c r="B105" s="102" t="s">
        <v>362</v>
      </c>
      <c r="C105" s="186">
        <v>0</v>
      </c>
      <c r="D105" s="186">
        <v>0</v>
      </c>
      <c r="E105" s="186">
        <v>26354575.649999999</v>
      </c>
      <c r="F105" s="186">
        <v>0</v>
      </c>
      <c r="G105" s="186">
        <v>26354575.649999999</v>
      </c>
      <c r="H105" s="186">
        <v>0</v>
      </c>
      <c r="I105" s="180">
        <f t="shared" si="5"/>
        <v>-26354575.649999999</v>
      </c>
    </row>
    <row r="106" spans="1:9">
      <c r="A106" s="102" t="s">
        <v>363</v>
      </c>
      <c r="B106" s="102" t="s">
        <v>364</v>
      </c>
      <c r="C106" s="186">
        <v>0</v>
      </c>
      <c r="D106" s="186">
        <v>0</v>
      </c>
      <c r="E106" s="186">
        <v>15599500</v>
      </c>
      <c r="F106" s="186">
        <v>0</v>
      </c>
      <c r="G106" s="186">
        <v>15599500</v>
      </c>
      <c r="H106" s="186">
        <v>0</v>
      </c>
      <c r="I106" s="180">
        <f t="shared" si="5"/>
        <v>-15599500</v>
      </c>
    </row>
    <row r="107" spans="1:9">
      <c r="A107" s="102" t="s">
        <v>365</v>
      </c>
      <c r="B107" s="102" t="s">
        <v>366</v>
      </c>
      <c r="C107" s="186">
        <v>6949360</v>
      </c>
      <c r="D107" s="186">
        <v>0</v>
      </c>
      <c r="E107" s="186">
        <v>3402520</v>
      </c>
      <c r="F107" s="186">
        <v>0</v>
      </c>
      <c r="G107" s="186">
        <v>10351880</v>
      </c>
      <c r="H107" s="186">
        <v>0</v>
      </c>
      <c r="I107" s="180">
        <f t="shared" si="5"/>
        <v>-3402520</v>
      </c>
    </row>
    <row r="108" spans="1:9">
      <c r="A108" s="102" t="s">
        <v>367</v>
      </c>
      <c r="B108" s="102" t="s">
        <v>368</v>
      </c>
      <c r="C108" s="186">
        <v>0</v>
      </c>
      <c r="D108" s="186">
        <v>0</v>
      </c>
      <c r="E108" s="186">
        <v>6000000</v>
      </c>
      <c r="F108" s="186">
        <v>0</v>
      </c>
      <c r="G108" s="186">
        <v>6000000</v>
      </c>
      <c r="H108" s="186">
        <v>0</v>
      </c>
      <c r="I108" s="180">
        <f t="shared" si="5"/>
        <v>-6000000</v>
      </c>
    </row>
    <row r="109" spans="1:9">
      <c r="A109" s="102" t="s">
        <v>369</v>
      </c>
      <c r="B109" s="102" t="s">
        <v>370</v>
      </c>
      <c r="C109" s="186">
        <v>113716800</v>
      </c>
      <c r="D109" s="186">
        <v>0</v>
      </c>
      <c r="E109" s="186">
        <v>55677600</v>
      </c>
      <c r="F109" s="186">
        <v>0</v>
      </c>
      <c r="G109" s="186">
        <v>169394400</v>
      </c>
      <c r="H109" s="186">
        <v>0</v>
      </c>
      <c r="I109" s="180">
        <f t="shared" si="5"/>
        <v>-55677600</v>
      </c>
    </row>
    <row r="110" spans="1:9">
      <c r="A110" s="102" t="s">
        <v>375</v>
      </c>
      <c r="B110" s="102" t="s">
        <v>376</v>
      </c>
      <c r="C110" s="186">
        <v>8645000</v>
      </c>
      <c r="D110" s="186">
        <v>0</v>
      </c>
      <c r="E110" s="186">
        <v>3950000</v>
      </c>
      <c r="F110" s="186">
        <v>0</v>
      </c>
      <c r="G110" s="186">
        <v>12595000</v>
      </c>
      <c r="H110" s="186">
        <v>0</v>
      </c>
      <c r="I110" s="180">
        <f t="shared" si="5"/>
        <v>-3950000</v>
      </c>
    </row>
    <row r="111" spans="1:9">
      <c r="A111" s="102" t="s">
        <v>377</v>
      </c>
      <c r="B111" s="102" t="s">
        <v>378</v>
      </c>
      <c r="C111" s="186">
        <v>15565000</v>
      </c>
      <c r="D111" s="186">
        <v>0</v>
      </c>
      <c r="E111" s="186">
        <v>2660000</v>
      </c>
      <c r="F111" s="186">
        <v>0</v>
      </c>
      <c r="G111" s="186">
        <v>18225000</v>
      </c>
      <c r="H111" s="186">
        <v>0</v>
      </c>
      <c r="I111" s="180">
        <f t="shared" si="5"/>
        <v>-2660000</v>
      </c>
    </row>
    <row r="112" spans="1:9">
      <c r="A112" s="102" t="s">
        <v>379</v>
      </c>
      <c r="B112" s="102" t="s">
        <v>380</v>
      </c>
      <c r="C112" s="186">
        <v>2455200</v>
      </c>
      <c r="D112" s="186">
        <v>0</v>
      </c>
      <c r="E112" s="186">
        <v>0</v>
      </c>
      <c r="F112" s="186">
        <v>0</v>
      </c>
      <c r="G112" s="186">
        <v>2455200</v>
      </c>
      <c r="H112" s="186">
        <v>0</v>
      </c>
      <c r="I112" s="180">
        <f t="shared" si="5"/>
        <v>0</v>
      </c>
    </row>
    <row r="113" spans="1:9">
      <c r="A113" s="102" t="s">
        <v>381</v>
      </c>
      <c r="B113" s="102" t="s">
        <v>382</v>
      </c>
      <c r="C113" s="186">
        <v>70000</v>
      </c>
      <c r="D113" s="186">
        <v>0</v>
      </c>
      <c r="E113" s="186">
        <v>0</v>
      </c>
      <c r="F113" s="186">
        <v>0</v>
      </c>
      <c r="G113" s="186">
        <v>70000</v>
      </c>
      <c r="H113" s="186">
        <v>0</v>
      </c>
      <c r="I113" s="180">
        <f t="shared" si="5"/>
        <v>0</v>
      </c>
    </row>
    <row r="114" spans="1:9">
      <c r="A114" s="102" t="s">
        <v>383</v>
      </c>
      <c r="B114" s="102" t="s">
        <v>384</v>
      </c>
      <c r="C114" s="186">
        <v>0</v>
      </c>
      <c r="D114" s="186">
        <v>0</v>
      </c>
      <c r="E114" s="186">
        <v>1470000</v>
      </c>
      <c r="F114" s="186">
        <v>0</v>
      </c>
      <c r="G114" s="186">
        <v>1470000</v>
      </c>
      <c r="H114" s="186">
        <v>0</v>
      </c>
      <c r="I114" s="180">
        <f t="shared" si="5"/>
        <v>-1470000</v>
      </c>
    </row>
    <row r="115" spans="1:9">
      <c r="A115" s="102" t="s">
        <v>385</v>
      </c>
      <c r="B115" s="102" t="s">
        <v>386</v>
      </c>
      <c r="C115" s="186">
        <v>2115200</v>
      </c>
      <c r="D115" s="186">
        <v>0</v>
      </c>
      <c r="E115" s="186">
        <v>2675200</v>
      </c>
      <c r="F115" s="186">
        <v>0</v>
      </c>
      <c r="G115" s="186">
        <v>4790400</v>
      </c>
      <c r="H115" s="186">
        <v>0</v>
      </c>
      <c r="I115" s="180">
        <f t="shared" si="5"/>
        <v>-2675200</v>
      </c>
    </row>
    <row r="116" spans="1:9">
      <c r="A116" s="102" t="s">
        <v>387</v>
      </c>
      <c r="B116" s="102" t="s">
        <v>388</v>
      </c>
      <c r="C116" s="186">
        <v>1221522.45</v>
      </c>
      <c r="D116" s="186">
        <v>0</v>
      </c>
      <c r="E116" s="186">
        <v>543438.36</v>
      </c>
      <c r="F116" s="186">
        <v>0</v>
      </c>
      <c r="G116" s="186">
        <v>1764960.81</v>
      </c>
      <c r="H116" s="186">
        <v>0</v>
      </c>
      <c r="I116" s="180">
        <f t="shared" si="5"/>
        <v>-543438.36</v>
      </c>
    </row>
    <row r="117" spans="1:9">
      <c r="A117" s="102" t="s">
        <v>629</v>
      </c>
      <c r="B117" s="102" t="s">
        <v>630</v>
      </c>
      <c r="C117" s="186">
        <v>0</v>
      </c>
      <c r="D117" s="186">
        <v>0</v>
      </c>
      <c r="E117" s="186">
        <v>397455</v>
      </c>
      <c r="F117" s="186">
        <v>0</v>
      </c>
      <c r="G117" s="186">
        <v>397455</v>
      </c>
      <c r="H117" s="186">
        <v>0</v>
      </c>
      <c r="I117" s="180">
        <f t="shared" si="5"/>
        <v>-397455</v>
      </c>
    </row>
    <row r="118" spans="1:9">
      <c r="A118" s="102" t="s">
        <v>389</v>
      </c>
      <c r="B118" s="102" t="s">
        <v>390</v>
      </c>
      <c r="C118" s="186">
        <v>0</v>
      </c>
      <c r="D118" s="186">
        <v>0.31999999999999995</v>
      </c>
      <c r="E118" s="186">
        <v>26000</v>
      </c>
      <c r="F118" s="186">
        <v>0</v>
      </c>
      <c r="G118" s="186">
        <v>25999.68</v>
      </c>
      <c r="H118" s="186">
        <v>0</v>
      </c>
      <c r="I118" s="180">
        <f t="shared" si="5"/>
        <v>-26000</v>
      </c>
    </row>
    <row r="119" spans="1:9">
      <c r="A119" s="102" t="s">
        <v>391</v>
      </c>
      <c r="B119" s="102" t="s">
        <v>392</v>
      </c>
      <c r="C119" s="186">
        <v>8068000</v>
      </c>
      <c r="D119" s="186">
        <v>0</v>
      </c>
      <c r="E119" s="186">
        <v>2611000</v>
      </c>
      <c r="F119" s="186">
        <v>0</v>
      </c>
      <c r="G119" s="186">
        <v>10679000</v>
      </c>
      <c r="H119" s="186">
        <v>0</v>
      </c>
      <c r="I119" s="180">
        <f t="shared" si="5"/>
        <v>-2611000</v>
      </c>
    </row>
    <row r="120" spans="1:9">
      <c r="A120" s="102" t="s">
        <v>393</v>
      </c>
      <c r="B120" s="102" t="s">
        <v>394</v>
      </c>
      <c r="C120" s="186">
        <v>8399500</v>
      </c>
      <c r="D120" s="186">
        <v>0</v>
      </c>
      <c r="E120" s="186">
        <v>1800000</v>
      </c>
      <c r="F120" s="186">
        <v>0</v>
      </c>
      <c r="G120" s="186">
        <v>10199500</v>
      </c>
      <c r="H120" s="186">
        <v>0</v>
      </c>
      <c r="I120" s="180">
        <f t="shared" si="5"/>
        <v>-1800000</v>
      </c>
    </row>
    <row r="121" spans="1:9">
      <c r="A121" s="102" t="s">
        <v>395</v>
      </c>
      <c r="B121" s="102" t="s">
        <v>396</v>
      </c>
      <c r="C121" s="186">
        <v>3621050.29</v>
      </c>
      <c r="D121" s="186">
        <v>0</v>
      </c>
      <c r="E121" s="186">
        <v>1848560.15</v>
      </c>
      <c r="F121" s="186">
        <v>0</v>
      </c>
      <c r="G121" s="186">
        <v>5469610.4400000004</v>
      </c>
      <c r="H121" s="186">
        <v>0</v>
      </c>
      <c r="I121" s="180">
        <f t="shared" si="5"/>
        <v>-1848560.15</v>
      </c>
    </row>
    <row r="122" spans="1:9">
      <c r="A122" s="102" t="s">
        <v>397</v>
      </c>
      <c r="B122" s="102" t="s">
        <v>398</v>
      </c>
      <c r="C122" s="186">
        <v>880000</v>
      </c>
      <c r="D122" s="186">
        <v>0</v>
      </c>
      <c r="E122" s="186">
        <v>0</v>
      </c>
      <c r="F122" s="186">
        <v>0</v>
      </c>
      <c r="G122" s="186">
        <v>880000</v>
      </c>
      <c r="H122" s="186">
        <v>0</v>
      </c>
      <c r="I122" s="180">
        <f t="shared" si="5"/>
        <v>0</v>
      </c>
    </row>
    <row r="123" spans="1:9">
      <c r="A123" s="102" t="s">
        <v>401</v>
      </c>
      <c r="B123" s="102" t="s">
        <v>402</v>
      </c>
      <c r="C123" s="186">
        <v>12658108.220000001</v>
      </c>
      <c r="D123" s="186">
        <v>0</v>
      </c>
      <c r="E123" s="186">
        <v>1626894.52</v>
      </c>
      <c r="F123" s="186">
        <v>0</v>
      </c>
      <c r="G123" s="186">
        <v>14285002.74</v>
      </c>
      <c r="H123" s="186">
        <v>0</v>
      </c>
      <c r="I123" s="180">
        <f t="shared" si="5"/>
        <v>-1626894.52</v>
      </c>
    </row>
    <row r="124" spans="1:9">
      <c r="A124" s="102" t="s">
        <v>403</v>
      </c>
      <c r="B124" s="102" t="s">
        <v>404</v>
      </c>
      <c r="C124" s="186">
        <v>423000</v>
      </c>
      <c r="D124" s="186">
        <v>0</v>
      </c>
      <c r="E124" s="186">
        <v>154000</v>
      </c>
      <c r="F124" s="186">
        <v>0</v>
      </c>
      <c r="G124" s="186">
        <v>577000</v>
      </c>
      <c r="H124" s="186">
        <v>0</v>
      </c>
      <c r="I124" s="180">
        <f t="shared" si="5"/>
        <v>-154000</v>
      </c>
    </row>
    <row r="125" spans="1:9">
      <c r="A125" s="102" t="s">
        <v>405</v>
      </c>
      <c r="B125" s="102" t="s">
        <v>406</v>
      </c>
      <c r="C125" s="186">
        <v>3235523</v>
      </c>
      <c r="D125" s="186">
        <v>0</v>
      </c>
      <c r="E125" s="186">
        <v>2400000</v>
      </c>
      <c r="F125" s="186">
        <v>0</v>
      </c>
      <c r="G125" s="186">
        <v>5635523</v>
      </c>
      <c r="H125" s="186">
        <v>0</v>
      </c>
      <c r="I125" s="180">
        <f t="shared" si="5"/>
        <v>-2400000</v>
      </c>
    </row>
    <row r="126" spans="1:9">
      <c r="A126" s="102" t="s">
        <v>407</v>
      </c>
      <c r="B126" s="102" t="s">
        <v>408</v>
      </c>
      <c r="C126" s="186">
        <v>7071189</v>
      </c>
      <c r="D126" s="186">
        <v>0</v>
      </c>
      <c r="E126" s="186">
        <v>3336560</v>
      </c>
      <c r="F126" s="186">
        <v>217652</v>
      </c>
      <c r="G126" s="186">
        <v>10190097</v>
      </c>
      <c r="H126" s="186">
        <v>0</v>
      </c>
      <c r="I126" s="180">
        <f t="shared" si="5"/>
        <v>-3118908</v>
      </c>
    </row>
    <row r="127" spans="1:9">
      <c r="A127" s="102" t="s">
        <v>409</v>
      </c>
      <c r="B127" s="102" t="s">
        <v>410</v>
      </c>
      <c r="C127" s="186">
        <v>23700000</v>
      </c>
      <c r="D127" s="186">
        <v>0</v>
      </c>
      <c r="E127" s="186">
        <v>12230000</v>
      </c>
      <c r="F127" s="186">
        <v>0</v>
      </c>
      <c r="G127" s="186">
        <v>35930000</v>
      </c>
      <c r="H127" s="186">
        <v>0</v>
      </c>
      <c r="I127" s="180">
        <f t="shared" si="5"/>
        <v>-12230000</v>
      </c>
    </row>
    <row r="128" spans="1:9">
      <c r="A128" s="102" t="s">
        <v>415</v>
      </c>
      <c r="B128" s="102" t="s">
        <v>416</v>
      </c>
      <c r="C128" s="186">
        <v>3181096</v>
      </c>
      <c r="D128" s="186">
        <v>0</v>
      </c>
      <c r="E128" s="186">
        <v>0</v>
      </c>
      <c r="F128" s="186">
        <v>0</v>
      </c>
      <c r="G128" s="186">
        <v>3181096</v>
      </c>
      <c r="H128" s="186">
        <v>0</v>
      </c>
      <c r="I128" s="180">
        <f t="shared" si="5"/>
        <v>0</v>
      </c>
    </row>
    <row r="129" spans="1:10">
      <c r="A129" s="102" t="s">
        <v>417</v>
      </c>
      <c r="B129" s="102" t="s">
        <v>418</v>
      </c>
      <c r="C129" s="186">
        <v>6077788</v>
      </c>
      <c r="D129" s="186">
        <v>0</v>
      </c>
      <c r="E129" s="186">
        <v>667000</v>
      </c>
      <c r="F129" s="186">
        <v>0</v>
      </c>
      <c r="G129" s="186">
        <v>6744788</v>
      </c>
      <c r="H129" s="186">
        <v>0</v>
      </c>
      <c r="I129" s="180">
        <f t="shared" si="5"/>
        <v>-667000</v>
      </c>
    </row>
    <row r="130" spans="1:10">
      <c r="A130" s="102" t="s">
        <v>419</v>
      </c>
      <c r="B130" s="102" t="s">
        <v>420</v>
      </c>
      <c r="C130" s="186">
        <v>14788857.960000001</v>
      </c>
      <c r="D130" s="186">
        <v>0</v>
      </c>
      <c r="E130" s="186">
        <v>7231990</v>
      </c>
      <c r="F130" s="186">
        <v>1473367.75</v>
      </c>
      <c r="G130" s="186">
        <v>20547480.210000001</v>
      </c>
      <c r="H130" s="186">
        <v>0</v>
      </c>
      <c r="I130" s="180">
        <f t="shared" si="5"/>
        <v>-5758622.25</v>
      </c>
    </row>
    <row r="131" spans="1:10">
      <c r="A131" s="102" t="s">
        <v>423</v>
      </c>
      <c r="B131" s="102" t="s">
        <v>424</v>
      </c>
      <c r="C131" s="186">
        <v>320000</v>
      </c>
      <c r="D131" s="186">
        <v>0</v>
      </c>
      <c r="E131" s="186">
        <v>0</v>
      </c>
      <c r="F131" s="186">
        <v>0</v>
      </c>
      <c r="G131" s="186">
        <v>320000</v>
      </c>
      <c r="H131" s="186">
        <v>0</v>
      </c>
      <c r="I131" s="180">
        <f t="shared" si="5"/>
        <v>0</v>
      </c>
    </row>
    <row r="132" spans="1:10">
      <c r="A132" s="102" t="s">
        <v>427</v>
      </c>
      <c r="B132" s="102" t="s">
        <v>428</v>
      </c>
      <c r="C132" s="186">
        <v>0</v>
      </c>
      <c r="D132" s="186">
        <v>0</v>
      </c>
      <c r="E132" s="186">
        <v>1350000</v>
      </c>
      <c r="F132" s="186">
        <v>0</v>
      </c>
      <c r="G132" s="186">
        <v>1350000</v>
      </c>
      <c r="H132" s="186">
        <v>0</v>
      </c>
      <c r="I132" s="180">
        <f t="shared" si="5"/>
        <v>-1350000</v>
      </c>
    </row>
    <row r="133" spans="1:10">
      <c r="A133" s="102" t="s">
        <v>429</v>
      </c>
      <c r="B133" s="102" t="s">
        <v>430</v>
      </c>
      <c r="C133" s="186">
        <v>18561400</v>
      </c>
      <c r="D133" s="186">
        <v>0</v>
      </c>
      <c r="E133" s="186">
        <v>1000000</v>
      </c>
      <c r="F133" s="186">
        <v>0</v>
      </c>
      <c r="G133" s="186">
        <v>19561400</v>
      </c>
      <c r="H133" s="186">
        <v>0</v>
      </c>
      <c r="I133" s="180">
        <f t="shared" si="5"/>
        <v>-1000000</v>
      </c>
    </row>
    <row r="134" spans="1:10">
      <c r="A134" s="102" t="s">
        <v>431</v>
      </c>
      <c r="B134" s="102" t="s">
        <v>432</v>
      </c>
      <c r="C134" s="186">
        <v>31917960.799999997</v>
      </c>
      <c r="D134" s="186">
        <v>0</v>
      </c>
      <c r="E134" s="186">
        <v>16586872.559999997</v>
      </c>
      <c r="F134" s="186">
        <v>0</v>
      </c>
      <c r="G134" s="186">
        <v>48504833.359999992</v>
      </c>
      <c r="H134" s="186">
        <v>0</v>
      </c>
      <c r="I134" s="180">
        <f t="shared" si="5"/>
        <v>-16586872.559999997</v>
      </c>
    </row>
    <row r="135" spans="1:10">
      <c r="A135" s="102" t="s">
        <v>435</v>
      </c>
      <c r="B135" s="102" t="s">
        <v>436</v>
      </c>
      <c r="C135" s="186">
        <v>0</v>
      </c>
      <c r="D135" s="186">
        <v>0</v>
      </c>
      <c r="E135" s="186">
        <v>2952194.07</v>
      </c>
      <c r="F135" s="186">
        <v>0</v>
      </c>
      <c r="G135" s="186">
        <v>2952194.07</v>
      </c>
      <c r="H135" s="186">
        <v>0</v>
      </c>
      <c r="I135" s="180">
        <f t="shared" si="5"/>
        <v>-2952194.07</v>
      </c>
    </row>
    <row r="136" spans="1:10">
      <c r="A136" s="187" t="s">
        <v>437</v>
      </c>
      <c r="B136" s="187" t="s">
        <v>438</v>
      </c>
      <c r="C136" s="186">
        <v>20338977.560000002</v>
      </c>
      <c r="D136" s="186">
        <v>0</v>
      </c>
      <c r="E136" s="248">
        <v>10674717.02</v>
      </c>
      <c r="F136" s="186">
        <v>0</v>
      </c>
      <c r="G136" s="186">
        <v>31013694.579999998</v>
      </c>
      <c r="H136" s="186">
        <v>0</v>
      </c>
      <c r="I136" s="180">
        <f t="shared" si="5"/>
        <v>-10674717.02</v>
      </c>
      <c r="J136" s="180">
        <f>+SUM(E136:E141)</f>
        <v>38817562.529999994</v>
      </c>
    </row>
    <row r="137" spans="1:10">
      <c r="A137" s="187" t="s">
        <v>439</v>
      </c>
      <c r="B137" s="187" t="s">
        <v>440</v>
      </c>
      <c r="C137" s="186">
        <v>24996639.190000001</v>
      </c>
      <c r="D137" s="186">
        <v>0</v>
      </c>
      <c r="E137" s="248">
        <v>13133827.369999999</v>
      </c>
      <c r="F137" s="186">
        <v>0</v>
      </c>
      <c r="G137" s="186">
        <v>38130466.560000002</v>
      </c>
      <c r="H137" s="186">
        <v>0</v>
      </c>
      <c r="I137" s="180">
        <f t="shared" si="5"/>
        <v>-13133827.369999999</v>
      </c>
      <c r="J137" s="250">
        <f>+J136-L48</f>
        <v>834450.85000003129</v>
      </c>
    </row>
    <row r="138" spans="1:10">
      <c r="A138" s="187" t="s">
        <v>441</v>
      </c>
      <c r="B138" s="187" t="s">
        <v>442</v>
      </c>
      <c r="C138" s="186">
        <v>10494238.209999999</v>
      </c>
      <c r="D138" s="186">
        <v>0</v>
      </c>
      <c r="E138" s="248">
        <v>5494017.6500000004</v>
      </c>
      <c r="F138" s="186">
        <v>0</v>
      </c>
      <c r="G138" s="186">
        <v>15988255.859999999</v>
      </c>
      <c r="H138" s="186">
        <v>0</v>
      </c>
      <c r="I138" s="180">
        <f t="shared" si="5"/>
        <v>-5494017.6500000004</v>
      </c>
    </row>
    <row r="139" spans="1:10">
      <c r="A139" s="187" t="s">
        <v>443</v>
      </c>
      <c r="B139" s="187" t="s">
        <v>444</v>
      </c>
      <c r="C139" s="186">
        <v>2206038.4599999995</v>
      </c>
      <c r="D139" s="186">
        <v>0</v>
      </c>
      <c r="E139" s="248">
        <v>1172980.5900000001</v>
      </c>
      <c r="F139" s="186">
        <v>0</v>
      </c>
      <c r="G139" s="186">
        <v>3379019.0499999993</v>
      </c>
      <c r="H139" s="186">
        <v>0</v>
      </c>
      <c r="I139" s="180">
        <f t="shared" si="5"/>
        <v>-1172980.5900000001</v>
      </c>
    </row>
    <row r="140" spans="1:10">
      <c r="A140" s="187" t="s">
        <v>445</v>
      </c>
      <c r="B140" s="187" t="s">
        <v>446</v>
      </c>
      <c r="C140" s="186">
        <v>6155058.0800000019</v>
      </c>
      <c r="D140" s="186">
        <v>0</v>
      </c>
      <c r="E140" s="248">
        <v>3234013.57</v>
      </c>
      <c r="F140" s="186">
        <v>0</v>
      </c>
      <c r="G140" s="186">
        <v>9389071.6500000022</v>
      </c>
      <c r="H140" s="186">
        <v>0</v>
      </c>
      <c r="I140" s="180">
        <f t="shared" si="5"/>
        <v>-3234013.57</v>
      </c>
    </row>
    <row r="141" spans="1:10">
      <c r="A141" s="187" t="s">
        <v>447</v>
      </c>
      <c r="B141" s="187" t="s">
        <v>448</v>
      </c>
      <c r="C141" s="186">
        <v>10492399.880000001</v>
      </c>
      <c r="D141" s="186">
        <v>0</v>
      </c>
      <c r="E141" s="248">
        <v>5108006.33</v>
      </c>
      <c r="F141" s="186">
        <v>0</v>
      </c>
      <c r="G141" s="186">
        <v>15600406.210000001</v>
      </c>
      <c r="H141" s="186">
        <v>0</v>
      </c>
      <c r="I141" s="180">
        <f t="shared" si="5"/>
        <v>-5108006.33</v>
      </c>
    </row>
    <row r="142" spans="1:10">
      <c r="A142" s="102" t="s">
        <v>449</v>
      </c>
      <c r="B142" s="102" t="s">
        <v>450</v>
      </c>
      <c r="C142" s="186">
        <v>0</v>
      </c>
      <c r="D142" s="186">
        <v>0</v>
      </c>
      <c r="E142" s="186">
        <v>211829366.22</v>
      </c>
      <c r="F142" s="186">
        <v>0</v>
      </c>
      <c r="G142" s="186">
        <v>211829366.22</v>
      </c>
      <c r="H142" s="186">
        <v>0</v>
      </c>
      <c r="I142" s="180">
        <f t="shared" si="5"/>
        <v>-211829366.22</v>
      </c>
    </row>
    <row r="143" spans="1:10">
      <c r="A143" s="102" t="s">
        <v>451</v>
      </c>
      <c r="B143" s="102" t="s">
        <v>452</v>
      </c>
      <c r="C143" s="186">
        <v>0</v>
      </c>
      <c r="D143" s="186">
        <v>1271582922.4099998</v>
      </c>
      <c r="E143" s="186">
        <v>0</v>
      </c>
      <c r="F143" s="186">
        <v>698046010.80999994</v>
      </c>
      <c r="G143" s="186">
        <v>0</v>
      </c>
      <c r="H143" s="186">
        <v>1969628933.22</v>
      </c>
      <c r="I143" s="180">
        <f t="shared" si="5"/>
        <v>698046010.80999994</v>
      </c>
    </row>
    <row r="144" spans="1:10">
      <c r="A144" s="102" t="s">
        <v>455</v>
      </c>
      <c r="B144" s="102" t="s">
        <v>456</v>
      </c>
      <c r="C144" s="186">
        <v>0</v>
      </c>
      <c r="D144" s="186">
        <v>0</v>
      </c>
      <c r="E144" s="186">
        <v>0</v>
      </c>
      <c r="F144" s="186">
        <v>0</v>
      </c>
      <c r="G144" s="186">
        <v>0</v>
      </c>
      <c r="H144" s="186">
        <v>0</v>
      </c>
      <c r="I144" s="180">
        <f t="shared" si="5"/>
        <v>0</v>
      </c>
    </row>
    <row r="145" spans="1:18">
      <c r="A145" s="102" t="s">
        <v>457</v>
      </c>
      <c r="B145" s="102" t="s">
        <v>458</v>
      </c>
      <c r="C145" s="186">
        <v>0</v>
      </c>
      <c r="D145" s="186">
        <v>89243473.310000002</v>
      </c>
      <c r="E145" s="186">
        <v>129943733.23999999</v>
      </c>
      <c r="F145" s="186">
        <v>112758753.23999999</v>
      </c>
      <c r="G145" s="186">
        <v>0</v>
      </c>
      <c r="H145" s="186">
        <v>72058493.310000002</v>
      </c>
      <c r="I145" s="180">
        <f t="shared" si="5"/>
        <v>-17184980</v>
      </c>
    </row>
    <row r="146" spans="1:18">
      <c r="A146" s="102" t="s">
        <v>461</v>
      </c>
      <c r="B146" s="102" t="s">
        <v>462</v>
      </c>
      <c r="C146" s="186">
        <v>960573.08</v>
      </c>
      <c r="D146" s="186">
        <v>0</v>
      </c>
      <c r="E146" s="186">
        <v>2472747.3199999998</v>
      </c>
      <c r="F146" s="186">
        <v>736983.7699999999</v>
      </c>
      <c r="G146" s="186">
        <v>2696336.63</v>
      </c>
      <c r="H146" s="186">
        <v>0</v>
      </c>
      <c r="I146" s="180">
        <f t="shared" ref="I146:I149" si="6">+F146-E146</f>
        <v>-1735763.5499999998</v>
      </c>
    </row>
    <row r="147" spans="1:18">
      <c r="A147" s="102" t="s">
        <v>463</v>
      </c>
      <c r="B147" s="102" t="s">
        <v>464</v>
      </c>
      <c r="C147" s="186">
        <v>0</v>
      </c>
      <c r="D147" s="186">
        <v>377437849</v>
      </c>
      <c r="E147" s="186">
        <v>0</v>
      </c>
      <c r="F147" s="186">
        <v>102025339</v>
      </c>
      <c r="G147" s="186">
        <v>0</v>
      </c>
      <c r="H147" s="186">
        <v>479463188</v>
      </c>
      <c r="I147" s="180">
        <f t="shared" si="6"/>
        <v>102025339</v>
      </c>
    </row>
    <row r="148" spans="1:18">
      <c r="A148" s="102" t="s">
        <v>465</v>
      </c>
      <c r="B148" s="102" t="s">
        <v>466</v>
      </c>
      <c r="C148" s="186">
        <v>0</v>
      </c>
      <c r="D148" s="186">
        <v>84233600</v>
      </c>
      <c r="E148" s="186">
        <v>41654400</v>
      </c>
      <c r="F148" s="186">
        <v>21156000</v>
      </c>
      <c r="G148" s="186">
        <v>0</v>
      </c>
      <c r="H148" s="186">
        <v>63735200</v>
      </c>
      <c r="I148" s="180">
        <f t="shared" si="6"/>
        <v>-20498400</v>
      </c>
    </row>
    <row r="149" spans="1:18">
      <c r="A149" s="102" t="s">
        <v>469</v>
      </c>
      <c r="B149" s="102" t="s">
        <v>470</v>
      </c>
      <c r="C149" s="186">
        <v>0</v>
      </c>
      <c r="D149" s="186">
        <v>2001.2</v>
      </c>
      <c r="E149" s="186">
        <v>0</v>
      </c>
      <c r="F149" s="186">
        <v>0</v>
      </c>
      <c r="G149" s="186">
        <v>0</v>
      </c>
      <c r="H149" s="186">
        <v>2001.2</v>
      </c>
      <c r="I149" s="180">
        <f t="shared" si="6"/>
        <v>0</v>
      </c>
    </row>
    <row r="150" spans="1:18" s="188" customFormat="1">
      <c r="A150" s="176" t="s">
        <v>471</v>
      </c>
      <c r="B150" s="105"/>
      <c r="C150" s="105">
        <f>SUM(C81:C149)</f>
        <v>1194231152.6000001</v>
      </c>
      <c r="D150" s="105">
        <f t="shared" ref="D150:H150" si="7">SUM(D81:D149)</f>
        <v>1822499846.2399998</v>
      </c>
      <c r="E150" s="105">
        <f t="shared" si="7"/>
        <v>955730223.16000021</v>
      </c>
      <c r="F150" s="105">
        <f>SUM(F81:F149)</f>
        <v>956600122.56999993</v>
      </c>
      <c r="G150" s="105">
        <f t="shared" si="7"/>
        <v>1955749222.6800001</v>
      </c>
      <c r="H150" s="105">
        <f t="shared" si="7"/>
        <v>2584887815.7299995</v>
      </c>
      <c r="I150" s="202">
        <v>-3.9062500000000001E-5</v>
      </c>
      <c r="J150" s="105">
        <v>0</v>
      </c>
      <c r="K150" s="105">
        <v>-3.9062500000000001E-5</v>
      </c>
      <c r="L150" s="176" t="s">
        <v>265</v>
      </c>
      <c r="M150" s="176" t="s">
        <v>266</v>
      </c>
      <c r="N150" s="176" t="s">
        <v>267</v>
      </c>
      <c r="O150" s="176" t="s">
        <v>268</v>
      </c>
      <c r="P150" s="176" t="s">
        <v>269</v>
      </c>
      <c r="Q150" s="176" t="s">
        <v>270</v>
      </c>
      <c r="R150" s="176" t="s">
        <v>271</v>
      </c>
    </row>
    <row r="151" spans="1:18">
      <c r="A151" s="112">
        <v>1</v>
      </c>
      <c r="D151" s="113">
        <f>+D150-C150</f>
        <v>628268693.63999963</v>
      </c>
      <c r="F151" s="113">
        <f>+F150-E150</f>
        <v>869899.4099997282</v>
      </c>
      <c r="H151" s="113">
        <f>+H150-G150</f>
        <v>629138593.04999948</v>
      </c>
      <c r="I151" s="180">
        <f>SUM(I81:I150)</f>
        <v>869899.40996074025</v>
      </c>
      <c r="J151" s="180">
        <f>+I151-F151</f>
        <v>-3.8987956941127777E-5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R162"/>
  <sheetViews>
    <sheetView workbookViewId="0">
      <pane xSplit="2" ySplit="4" topLeftCell="D5" activePane="bottomRight" state="frozen"/>
      <selection pane="topRight" activeCell="C1" sqref="C1"/>
      <selection pane="bottomLeft" activeCell="A5" sqref="A5"/>
      <selection pane="bottomRight" sqref="A1:J162"/>
    </sheetView>
  </sheetViews>
  <sheetFormatPr defaultRowHeight="15.75"/>
  <cols>
    <col min="1" max="1" width="7.75" style="103" customWidth="1"/>
    <col min="2" max="2" width="29.875" style="103" customWidth="1"/>
    <col min="3" max="4" width="15.25" style="103" bestFit="1" customWidth="1"/>
    <col min="5" max="5" width="14.375" style="103" bestFit="1" customWidth="1"/>
    <col min="6" max="6" width="14.875" style="103" customWidth="1"/>
    <col min="7" max="8" width="15.25" style="103" bestFit="1" customWidth="1"/>
    <col min="9" max="10" width="15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643</v>
      </c>
      <c r="F3" s="102" t="s">
        <v>112</v>
      </c>
    </row>
    <row r="4" spans="1:10">
      <c r="A4" s="232"/>
      <c r="B4" s="232"/>
      <c r="C4" s="294" t="s">
        <v>272</v>
      </c>
      <c r="D4" s="294" t="s">
        <v>273</v>
      </c>
      <c r="E4" s="294" t="s">
        <v>272</v>
      </c>
      <c r="F4" s="294" t="s">
        <v>273</v>
      </c>
      <c r="G4" s="294" t="s">
        <v>272</v>
      </c>
      <c r="H4" s="294" t="s">
        <v>273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15990718</v>
      </c>
      <c r="F5" s="186">
        <v>15990718</v>
      </c>
      <c r="G5" s="186">
        <v>10000000</v>
      </c>
      <c r="H5" s="186">
        <v>0</v>
      </c>
      <c r="I5" s="113">
        <f>+G5-C5</f>
        <v>0</v>
      </c>
      <c r="J5" s="113">
        <f>+H5-D5</f>
        <v>0</v>
      </c>
    </row>
    <row r="6" spans="1:10">
      <c r="A6" s="303" t="s">
        <v>141</v>
      </c>
      <c r="B6" s="303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302">
        <f>+G6-C6</f>
        <v>0</v>
      </c>
      <c r="J6" s="113">
        <f t="shared" ref="I6:J69" si="0">+H6-D6</f>
        <v>0</v>
      </c>
    </row>
    <row r="7" spans="1:10">
      <c r="A7" s="303" t="s">
        <v>127</v>
      </c>
      <c r="B7" s="303" t="s">
        <v>128</v>
      </c>
      <c r="C7" s="186">
        <v>137607.24000000954</v>
      </c>
      <c r="D7" s="186">
        <v>0</v>
      </c>
      <c r="E7" s="186">
        <v>0</v>
      </c>
      <c r="F7" s="186">
        <v>20000</v>
      </c>
      <c r="G7" s="186">
        <v>117607.24000000954</v>
      </c>
      <c r="H7" s="186">
        <v>0</v>
      </c>
      <c r="I7" s="302">
        <f t="shared" si="0"/>
        <v>-20000</v>
      </c>
      <c r="J7" s="113">
        <f t="shared" si="0"/>
        <v>0</v>
      </c>
    </row>
    <row r="8" spans="1:10">
      <c r="A8" s="303" t="s">
        <v>135</v>
      </c>
      <c r="B8" s="303" t="s">
        <v>136</v>
      </c>
      <c r="C8" s="186">
        <v>264012013.15999997</v>
      </c>
      <c r="D8" s="186">
        <v>0</v>
      </c>
      <c r="E8" s="186">
        <v>0</v>
      </c>
      <c r="F8" s="186">
        <v>255858426.72999999</v>
      </c>
      <c r="G8" s="186">
        <v>8153586.4299999615</v>
      </c>
      <c r="H8" s="186">
        <v>0</v>
      </c>
      <c r="I8" s="302">
        <f t="shared" si="0"/>
        <v>-255858426.73000002</v>
      </c>
      <c r="J8" s="113">
        <f t="shared" si="0"/>
        <v>0</v>
      </c>
    </row>
    <row r="9" spans="1:10">
      <c r="A9" s="303" t="s">
        <v>143</v>
      </c>
      <c r="B9" s="303" t="s">
        <v>144</v>
      </c>
      <c r="C9" s="186">
        <v>1488864.39</v>
      </c>
      <c r="D9" s="186">
        <v>0</v>
      </c>
      <c r="E9" s="186">
        <v>15333.11</v>
      </c>
      <c r="F9" s="186">
        <v>15500</v>
      </c>
      <c r="G9" s="186">
        <v>1488697.5</v>
      </c>
      <c r="H9" s="186">
        <v>0</v>
      </c>
      <c r="I9" s="302">
        <f t="shared" si="0"/>
        <v>-166.88999999989755</v>
      </c>
      <c r="J9" s="113">
        <f t="shared" si="0"/>
        <v>0</v>
      </c>
    </row>
    <row r="10" spans="1:10">
      <c r="A10" s="303" t="s">
        <v>131</v>
      </c>
      <c r="B10" s="303" t="s">
        <v>132</v>
      </c>
      <c r="C10" s="186">
        <v>129974887</v>
      </c>
      <c r="D10" s="186">
        <v>0</v>
      </c>
      <c r="E10" s="186">
        <v>237694712</v>
      </c>
      <c r="F10" s="186">
        <v>300288018</v>
      </c>
      <c r="G10" s="186">
        <v>67381581</v>
      </c>
      <c r="H10" s="186">
        <v>0</v>
      </c>
      <c r="I10" s="302">
        <f t="shared" si="0"/>
        <v>-62593306</v>
      </c>
      <c r="J10" s="113">
        <f t="shared" si="0"/>
        <v>0</v>
      </c>
    </row>
    <row r="11" spans="1:10">
      <c r="A11" s="303" t="s">
        <v>121</v>
      </c>
      <c r="B11" s="303" t="s">
        <v>122</v>
      </c>
      <c r="C11" s="186">
        <v>37956098685</v>
      </c>
      <c r="D11" s="186">
        <v>0</v>
      </c>
      <c r="E11" s="186">
        <v>2998047564</v>
      </c>
      <c r="F11" s="186">
        <v>6396092184</v>
      </c>
      <c r="G11" s="186">
        <v>34558054065</v>
      </c>
      <c r="H11" s="186">
        <v>0</v>
      </c>
      <c r="I11" s="302">
        <f t="shared" si="0"/>
        <v>-3398044620</v>
      </c>
      <c r="J11" s="113">
        <f t="shared" si="0"/>
        <v>0</v>
      </c>
    </row>
    <row r="12" spans="1:10">
      <c r="A12" s="303" t="s">
        <v>123</v>
      </c>
      <c r="B12" s="303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302">
        <f t="shared" si="0"/>
        <v>0</v>
      </c>
      <c r="J12" s="113">
        <f t="shared" si="0"/>
        <v>0</v>
      </c>
    </row>
    <row r="13" spans="1:10">
      <c r="A13" s="303" t="s">
        <v>274</v>
      </c>
      <c r="B13" s="303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302">
        <f t="shared" si="0"/>
        <v>0</v>
      </c>
      <c r="J13" s="113">
        <f t="shared" si="0"/>
        <v>0</v>
      </c>
    </row>
    <row r="14" spans="1:10">
      <c r="A14" s="303" t="s">
        <v>276</v>
      </c>
      <c r="B14" s="303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302">
        <f t="shared" si="0"/>
        <v>0</v>
      </c>
      <c r="J14" s="113">
        <f t="shared" si="0"/>
        <v>0</v>
      </c>
    </row>
    <row r="15" spans="1:10">
      <c r="A15" s="303" t="s">
        <v>278</v>
      </c>
      <c r="B15" s="303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302">
        <f t="shared" si="0"/>
        <v>0</v>
      </c>
      <c r="J15" s="113">
        <f t="shared" si="0"/>
        <v>0</v>
      </c>
    </row>
    <row r="16" spans="1:10">
      <c r="A16" s="303" t="s">
        <v>145</v>
      </c>
      <c r="B16" s="303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302">
        <f t="shared" si="0"/>
        <v>0</v>
      </c>
      <c r="J16" s="113">
        <f t="shared" si="0"/>
        <v>0</v>
      </c>
    </row>
    <row r="17" spans="1:12">
      <c r="A17" s="303" t="s">
        <v>149</v>
      </c>
      <c r="B17" s="303" t="s">
        <v>150</v>
      </c>
      <c r="C17" s="186">
        <v>6209076847.090004</v>
      </c>
      <c r="D17" s="186">
        <v>0</v>
      </c>
      <c r="E17" s="186">
        <v>169603155.31</v>
      </c>
      <c r="F17" s="186">
        <v>558860049.94000006</v>
      </c>
      <c r="G17" s="186">
        <v>5819819952.4600039</v>
      </c>
      <c r="H17" s="186">
        <v>0</v>
      </c>
      <c r="I17" s="302">
        <f t="shared" si="0"/>
        <v>-389256894.63000011</v>
      </c>
      <c r="J17" s="113">
        <f t="shared" si="0"/>
        <v>0</v>
      </c>
    </row>
    <row r="18" spans="1:12">
      <c r="A18" s="303" t="s">
        <v>139</v>
      </c>
      <c r="B18" s="303" t="s">
        <v>140</v>
      </c>
      <c r="C18" s="186">
        <v>179266207.13999999</v>
      </c>
      <c r="D18" s="186">
        <v>0</v>
      </c>
      <c r="E18" s="186">
        <v>253447973.23999995</v>
      </c>
      <c r="F18" s="186">
        <v>30164222.879999999</v>
      </c>
      <c r="G18" s="186">
        <v>402549957.5</v>
      </c>
      <c r="H18" s="186">
        <v>0</v>
      </c>
      <c r="I18" s="302">
        <f t="shared" si="0"/>
        <v>223283750.36000001</v>
      </c>
      <c r="J18" s="113">
        <f t="shared" si="0"/>
        <v>0</v>
      </c>
    </row>
    <row r="19" spans="1:12">
      <c r="A19" s="303" t="s">
        <v>137</v>
      </c>
      <c r="B19" s="303" t="s">
        <v>138</v>
      </c>
      <c r="C19" s="186">
        <v>4296564260</v>
      </c>
      <c r="D19" s="186">
        <v>0</v>
      </c>
      <c r="E19" s="186">
        <v>250147801</v>
      </c>
      <c r="F19" s="186">
        <v>0</v>
      </c>
      <c r="G19" s="186">
        <v>4546712061</v>
      </c>
      <c r="H19" s="186">
        <v>0</v>
      </c>
      <c r="I19" s="302">
        <f t="shared" si="0"/>
        <v>250147801</v>
      </c>
      <c r="J19" s="113">
        <f t="shared" si="0"/>
        <v>0</v>
      </c>
    </row>
    <row r="20" spans="1:12">
      <c r="A20" s="303" t="s">
        <v>151</v>
      </c>
      <c r="B20" s="303" t="s">
        <v>152</v>
      </c>
      <c r="C20" s="186">
        <v>2317157148.150012</v>
      </c>
      <c r="D20" s="186">
        <v>0</v>
      </c>
      <c r="E20" s="186">
        <v>372204544.73000002</v>
      </c>
      <c r="F20" s="186">
        <v>0</v>
      </c>
      <c r="G20" s="186">
        <v>2689361692.880012</v>
      </c>
      <c r="H20" s="186">
        <v>0</v>
      </c>
      <c r="I20" s="302">
        <f t="shared" si="0"/>
        <v>372204544.73000002</v>
      </c>
      <c r="J20" s="113">
        <f t="shared" si="0"/>
        <v>0</v>
      </c>
    </row>
    <row r="21" spans="1:12">
      <c r="A21" s="303" t="s">
        <v>147</v>
      </c>
      <c r="B21" s="303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302">
        <f t="shared" si="0"/>
        <v>0</v>
      </c>
      <c r="J21" s="113">
        <f t="shared" si="0"/>
        <v>0</v>
      </c>
    </row>
    <row r="22" spans="1:12">
      <c r="A22" s="303" t="s">
        <v>125</v>
      </c>
      <c r="B22" s="303" t="s">
        <v>126</v>
      </c>
      <c r="C22" s="186">
        <v>15000000000</v>
      </c>
      <c r="D22" s="186">
        <v>0</v>
      </c>
      <c r="E22" s="186">
        <v>0</v>
      </c>
      <c r="F22" s="186">
        <v>0</v>
      </c>
      <c r="G22" s="186">
        <v>15000000000</v>
      </c>
      <c r="H22" s="186">
        <v>0</v>
      </c>
      <c r="I22" s="302">
        <f t="shared" si="0"/>
        <v>0</v>
      </c>
      <c r="J22" s="113">
        <f t="shared" si="0"/>
        <v>0</v>
      </c>
    </row>
    <row r="23" spans="1:12">
      <c r="A23" s="303" t="s">
        <v>129</v>
      </c>
      <c r="B23" s="303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302">
        <f t="shared" si="0"/>
        <v>0</v>
      </c>
      <c r="J23" s="113">
        <f t="shared" si="0"/>
        <v>0</v>
      </c>
    </row>
    <row r="24" spans="1:12">
      <c r="A24" s="303" t="s">
        <v>133</v>
      </c>
      <c r="B24" s="303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302">
        <f t="shared" si="0"/>
        <v>0</v>
      </c>
      <c r="J24" s="113">
        <f t="shared" si="0"/>
        <v>0</v>
      </c>
    </row>
    <row r="25" spans="1:12">
      <c r="A25" s="303" t="s">
        <v>644</v>
      </c>
      <c r="B25" s="303" t="s">
        <v>645</v>
      </c>
      <c r="C25" s="186">
        <v>10000000000</v>
      </c>
      <c r="D25" s="186">
        <v>0</v>
      </c>
      <c r="E25" s="186">
        <v>0</v>
      </c>
      <c r="F25" s="186">
        <v>0</v>
      </c>
      <c r="G25" s="186">
        <v>10000000000</v>
      </c>
      <c r="H25" s="186">
        <v>0</v>
      </c>
      <c r="I25" s="302">
        <f t="shared" si="0"/>
        <v>0</v>
      </c>
      <c r="J25" s="113">
        <f t="shared" si="0"/>
        <v>0</v>
      </c>
    </row>
    <row r="26" spans="1:12">
      <c r="A26" s="288" t="s">
        <v>201</v>
      </c>
      <c r="B26" s="288" t="s">
        <v>202</v>
      </c>
      <c r="C26" s="186">
        <v>674446347.00000048</v>
      </c>
      <c r="D26" s="186">
        <v>0</v>
      </c>
      <c r="E26" s="186">
        <v>635747717</v>
      </c>
      <c r="F26" s="186">
        <v>674446347</v>
      </c>
      <c r="G26" s="186">
        <v>635747717.00000048</v>
      </c>
      <c r="H26" s="186">
        <v>0</v>
      </c>
      <c r="I26" s="284">
        <f t="shared" si="0"/>
        <v>-38698630</v>
      </c>
      <c r="J26" s="113">
        <f t="shared" si="0"/>
        <v>0</v>
      </c>
    </row>
    <row r="27" spans="1:12">
      <c r="A27" s="285" t="s">
        <v>217</v>
      </c>
      <c r="B27" s="285" t="s">
        <v>218</v>
      </c>
      <c r="C27" s="186">
        <v>163244936</v>
      </c>
      <c r="D27" s="186">
        <v>0</v>
      </c>
      <c r="E27" s="186">
        <v>911567</v>
      </c>
      <c r="F27" s="186">
        <v>0</v>
      </c>
      <c r="G27" s="186">
        <v>164156503</v>
      </c>
      <c r="H27" s="186">
        <v>0</v>
      </c>
      <c r="I27" s="283">
        <f t="shared" si="0"/>
        <v>911567</v>
      </c>
      <c r="J27" s="113">
        <f t="shared" si="0"/>
        <v>0</v>
      </c>
    </row>
    <row r="28" spans="1:12">
      <c r="A28" s="285" t="s">
        <v>215</v>
      </c>
      <c r="B28" s="285" t="s">
        <v>216</v>
      </c>
      <c r="C28" s="186">
        <v>11888910</v>
      </c>
      <c r="D28" s="186">
        <v>0</v>
      </c>
      <c r="E28" s="186">
        <v>0</v>
      </c>
      <c r="F28" s="186">
        <v>0</v>
      </c>
      <c r="G28" s="186">
        <v>11888910</v>
      </c>
      <c r="H28" s="186">
        <v>0</v>
      </c>
      <c r="I28" s="283">
        <f t="shared" si="0"/>
        <v>0</v>
      </c>
      <c r="J28" s="113">
        <f t="shared" si="0"/>
        <v>0</v>
      </c>
    </row>
    <row r="29" spans="1:12">
      <c r="A29" s="285" t="s">
        <v>282</v>
      </c>
      <c r="B29" s="285" t="s">
        <v>283</v>
      </c>
      <c r="C29" s="186">
        <v>0</v>
      </c>
      <c r="D29" s="186">
        <v>0</v>
      </c>
      <c r="E29" s="186">
        <v>0</v>
      </c>
      <c r="F29" s="186">
        <v>0</v>
      </c>
      <c r="G29" s="186">
        <v>0</v>
      </c>
      <c r="H29" s="186">
        <v>0</v>
      </c>
      <c r="I29" s="283">
        <f t="shared" si="0"/>
        <v>0</v>
      </c>
      <c r="J29" s="113">
        <f t="shared" si="0"/>
        <v>0</v>
      </c>
      <c r="L29" s="113">
        <f>+SUM(I27:I29)+SUM(I35:I42)</f>
        <v>253124679.63</v>
      </c>
    </row>
    <row r="30" spans="1:12">
      <c r="A30" s="240" t="s">
        <v>159</v>
      </c>
      <c r="B30" s="240" t="s">
        <v>160</v>
      </c>
      <c r="C30" s="186">
        <v>0</v>
      </c>
      <c r="D30" s="186">
        <v>0</v>
      </c>
      <c r="E30" s="186">
        <v>79527050</v>
      </c>
      <c r="F30" s="186">
        <v>69761435</v>
      </c>
      <c r="G30" s="186">
        <v>9765615</v>
      </c>
      <c r="H30" s="186">
        <v>0</v>
      </c>
      <c r="I30" s="241">
        <f t="shared" si="0"/>
        <v>9765615</v>
      </c>
      <c r="J30" s="113">
        <f t="shared" si="0"/>
        <v>0</v>
      </c>
    </row>
    <row r="31" spans="1:12">
      <c r="A31" s="304" t="s">
        <v>162</v>
      </c>
      <c r="B31" s="304" t="s">
        <v>163</v>
      </c>
      <c r="C31" s="186">
        <v>74092454</v>
      </c>
      <c r="D31" s="186">
        <v>0</v>
      </c>
      <c r="E31" s="186">
        <v>157466113</v>
      </c>
      <c r="F31" s="186">
        <v>167933277</v>
      </c>
      <c r="G31" s="186">
        <v>63625290</v>
      </c>
      <c r="H31" s="186">
        <v>0</v>
      </c>
      <c r="I31" s="305">
        <f t="shared" si="0"/>
        <v>-10467164</v>
      </c>
      <c r="J31" s="113">
        <f t="shared" si="0"/>
        <v>0</v>
      </c>
    </row>
    <row r="32" spans="1:12">
      <c r="A32" s="288" t="s">
        <v>203</v>
      </c>
      <c r="B32" s="288" t="s">
        <v>204</v>
      </c>
      <c r="C32" s="186">
        <v>1.1920928955078125E-7</v>
      </c>
      <c r="D32" s="186">
        <v>0</v>
      </c>
      <c r="E32" s="186">
        <v>0</v>
      </c>
      <c r="F32" s="186">
        <v>0</v>
      </c>
      <c r="G32" s="186">
        <v>1.1920928955078125E-7</v>
      </c>
      <c r="H32" s="186">
        <v>0</v>
      </c>
      <c r="I32" s="284">
        <f t="shared" si="0"/>
        <v>0</v>
      </c>
      <c r="J32" s="113">
        <f t="shared" si="0"/>
        <v>0</v>
      </c>
    </row>
    <row r="33" spans="1:12">
      <c r="A33" s="234" t="s">
        <v>154</v>
      </c>
      <c r="B33" s="234" t="s">
        <v>155</v>
      </c>
      <c r="C33" s="186">
        <v>1459323221.7599998</v>
      </c>
      <c r="D33" s="186">
        <v>0</v>
      </c>
      <c r="E33" s="186">
        <v>203061127.19999999</v>
      </c>
      <c r="F33" s="186">
        <v>0</v>
      </c>
      <c r="G33" s="186">
        <v>1662384348.9599998</v>
      </c>
      <c r="H33" s="186">
        <v>0</v>
      </c>
      <c r="I33" s="235">
        <f t="shared" si="0"/>
        <v>203061127.20000005</v>
      </c>
      <c r="J33" s="113">
        <f t="shared" si="0"/>
        <v>0</v>
      </c>
    </row>
    <row r="34" spans="1:12">
      <c r="A34" s="234" t="s">
        <v>156</v>
      </c>
      <c r="B34" s="234" t="s">
        <v>157</v>
      </c>
      <c r="C34" s="186">
        <v>32840178.239999954</v>
      </c>
      <c r="D34" s="186">
        <v>0</v>
      </c>
      <c r="E34" s="186">
        <v>27401751.039999999</v>
      </c>
      <c r="F34" s="186">
        <v>32840178.239999998</v>
      </c>
      <c r="G34" s="186">
        <v>27401751.039999951</v>
      </c>
      <c r="H34" s="186">
        <v>0</v>
      </c>
      <c r="I34" s="235">
        <f t="shared" si="0"/>
        <v>-5438427.200000003</v>
      </c>
      <c r="J34" s="113">
        <f t="shared" si="0"/>
        <v>0</v>
      </c>
    </row>
    <row r="35" spans="1:12">
      <c r="A35" s="285" t="s">
        <v>165</v>
      </c>
      <c r="B35" s="285" t="s">
        <v>166</v>
      </c>
      <c r="C35" s="186">
        <v>15444583</v>
      </c>
      <c r="D35" s="186">
        <v>0</v>
      </c>
      <c r="E35" s="186">
        <v>1662732</v>
      </c>
      <c r="F35" s="186">
        <v>2246732</v>
      </c>
      <c r="G35" s="186">
        <v>14860583</v>
      </c>
      <c r="H35" s="186">
        <v>0</v>
      </c>
      <c r="I35" s="283">
        <f t="shared" si="0"/>
        <v>-584000</v>
      </c>
      <c r="J35" s="113">
        <f t="shared" si="0"/>
        <v>0</v>
      </c>
    </row>
    <row r="36" spans="1:12">
      <c r="A36" s="285" t="s">
        <v>171</v>
      </c>
      <c r="B36" s="285" t="s">
        <v>172</v>
      </c>
      <c r="C36" s="186">
        <v>5862058</v>
      </c>
      <c r="D36" s="186">
        <v>0</v>
      </c>
      <c r="E36" s="186">
        <v>427322763</v>
      </c>
      <c r="F36" s="186">
        <v>120995945</v>
      </c>
      <c r="G36" s="186">
        <v>312188876</v>
      </c>
      <c r="H36" s="186">
        <v>0</v>
      </c>
      <c r="I36" s="283">
        <f t="shared" si="0"/>
        <v>306326818</v>
      </c>
      <c r="J36" s="113">
        <f t="shared" si="0"/>
        <v>0</v>
      </c>
    </row>
    <row r="37" spans="1:12">
      <c r="A37" s="285" t="s">
        <v>167</v>
      </c>
      <c r="B37" s="285" t="s">
        <v>168</v>
      </c>
      <c r="C37" s="186">
        <v>0</v>
      </c>
      <c r="D37" s="186">
        <v>0</v>
      </c>
      <c r="E37" s="186">
        <v>0</v>
      </c>
      <c r="F37" s="186">
        <v>0</v>
      </c>
      <c r="G37" s="186">
        <v>0</v>
      </c>
      <c r="H37" s="186">
        <v>0</v>
      </c>
      <c r="I37" s="283">
        <f t="shared" si="0"/>
        <v>0</v>
      </c>
      <c r="J37" s="113">
        <f t="shared" si="0"/>
        <v>0</v>
      </c>
    </row>
    <row r="38" spans="1:12">
      <c r="A38" s="285" t="s">
        <v>169</v>
      </c>
      <c r="B38" s="285" t="s">
        <v>170</v>
      </c>
      <c r="C38" s="186">
        <v>7000000</v>
      </c>
      <c r="D38" s="186">
        <v>0</v>
      </c>
      <c r="E38" s="186">
        <v>12000000</v>
      </c>
      <c r="F38" s="186">
        <v>12000000</v>
      </c>
      <c r="G38" s="186">
        <v>7000000</v>
      </c>
      <c r="H38" s="186">
        <v>0</v>
      </c>
      <c r="I38" s="283">
        <f t="shared" si="0"/>
        <v>0</v>
      </c>
      <c r="J38" s="113">
        <f t="shared" si="0"/>
        <v>0</v>
      </c>
    </row>
    <row r="39" spans="1:12">
      <c r="A39" s="285" t="s">
        <v>210</v>
      </c>
      <c r="B39" s="285" t="s">
        <v>211</v>
      </c>
      <c r="C39" s="186">
        <v>239823221.1300002</v>
      </c>
      <c r="D39" s="186">
        <v>0</v>
      </c>
      <c r="E39" s="186">
        <v>0</v>
      </c>
      <c r="F39" s="186">
        <v>40644463.809999995</v>
      </c>
      <c r="G39" s="186">
        <v>199178757.3200002</v>
      </c>
      <c r="H39" s="186">
        <v>0</v>
      </c>
      <c r="I39" s="283">
        <f t="shared" si="0"/>
        <v>-40644463.810000002</v>
      </c>
      <c r="J39" s="113">
        <f t="shared" si="0"/>
        <v>0</v>
      </c>
    </row>
    <row r="40" spans="1:12">
      <c r="A40" s="285" t="s">
        <v>208</v>
      </c>
      <c r="B40" s="285" t="s">
        <v>209</v>
      </c>
      <c r="C40" s="186">
        <v>82843824.330000013</v>
      </c>
      <c r="D40" s="186">
        <v>0</v>
      </c>
      <c r="E40" s="186">
        <v>0</v>
      </c>
      <c r="F40" s="186">
        <v>11631693.619999999</v>
      </c>
      <c r="G40" s="186">
        <v>71212130.710000008</v>
      </c>
      <c r="H40" s="186">
        <v>0</v>
      </c>
      <c r="I40" s="283">
        <f t="shared" si="0"/>
        <v>-11631693.620000005</v>
      </c>
      <c r="J40" s="113">
        <f t="shared" si="0"/>
        <v>0</v>
      </c>
    </row>
    <row r="41" spans="1:12">
      <c r="A41" s="285" t="s">
        <v>206</v>
      </c>
      <c r="B41" s="285" t="s">
        <v>207</v>
      </c>
      <c r="C41" s="186">
        <v>3312021.6799999774</v>
      </c>
      <c r="D41" s="186">
        <v>0</v>
      </c>
      <c r="E41" s="186">
        <v>0</v>
      </c>
      <c r="F41" s="186">
        <v>433972.6</v>
      </c>
      <c r="G41" s="186">
        <v>2878049.0799999773</v>
      </c>
      <c r="H41" s="186">
        <v>0</v>
      </c>
      <c r="I41" s="283">
        <f t="shared" si="0"/>
        <v>-433972.60000000009</v>
      </c>
      <c r="J41" s="113">
        <f t="shared" si="0"/>
        <v>0</v>
      </c>
    </row>
    <row r="42" spans="1:12">
      <c r="A42" s="285" t="s">
        <v>212</v>
      </c>
      <c r="B42" s="285" t="s">
        <v>213</v>
      </c>
      <c r="C42" s="186">
        <v>1475235.6300000008</v>
      </c>
      <c r="D42" s="186">
        <v>0</v>
      </c>
      <c r="E42" s="186">
        <v>0</v>
      </c>
      <c r="F42" s="186">
        <v>819575.34</v>
      </c>
      <c r="G42" s="186">
        <v>655660.29000000085</v>
      </c>
      <c r="H42" s="186">
        <v>0</v>
      </c>
      <c r="I42" s="283">
        <f t="shared" si="0"/>
        <v>-819575.34</v>
      </c>
      <c r="J42" s="113">
        <f>+H42-D42</f>
        <v>0</v>
      </c>
      <c r="L42" s="113">
        <f>-SUM(I27:I29)-SUM(I35:I42)</f>
        <v>-253124679.63</v>
      </c>
    </row>
    <row r="43" spans="1:12">
      <c r="A43" s="311" t="s">
        <v>174</v>
      </c>
      <c r="B43" s="311" t="s">
        <v>175</v>
      </c>
      <c r="C43" s="186">
        <v>300878050.00999999</v>
      </c>
      <c r="D43" s="186">
        <v>0</v>
      </c>
      <c r="E43" s="186">
        <v>0</v>
      </c>
      <c r="F43" s="186">
        <v>0</v>
      </c>
      <c r="G43" s="186">
        <v>300878050.00999999</v>
      </c>
      <c r="H43" s="186">
        <v>0</v>
      </c>
      <c r="I43" s="310">
        <f t="shared" si="0"/>
        <v>0</v>
      </c>
      <c r="J43" s="113">
        <f t="shared" si="0"/>
        <v>0</v>
      </c>
    </row>
    <row r="44" spans="1:12">
      <c r="A44" s="311" t="s">
        <v>179</v>
      </c>
      <c r="B44" s="311" t="s">
        <v>180</v>
      </c>
      <c r="C44" s="186">
        <v>629368000</v>
      </c>
      <c r="D44" s="186">
        <v>0</v>
      </c>
      <c r="E44" s="186">
        <v>0</v>
      </c>
      <c r="F44" s="186">
        <v>0</v>
      </c>
      <c r="G44" s="186">
        <v>629368000</v>
      </c>
      <c r="H44" s="186">
        <v>0</v>
      </c>
      <c r="I44" s="310">
        <f t="shared" si="0"/>
        <v>0</v>
      </c>
      <c r="J44" s="113">
        <f t="shared" si="0"/>
        <v>0</v>
      </c>
    </row>
    <row r="45" spans="1:12">
      <c r="A45" s="311" t="s">
        <v>177</v>
      </c>
      <c r="B45" s="311" t="s">
        <v>178</v>
      </c>
      <c r="C45" s="186">
        <v>1552512051.8699999</v>
      </c>
      <c r="D45" s="186">
        <v>0</v>
      </c>
      <c r="E45" s="186">
        <v>0</v>
      </c>
      <c r="F45" s="186">
        <v>0</v>
      </c>
      <c r="G45" s="186">
        <v>1552512051.8699999</v>
      </c>
      <c r="H45" s="186">
        <v>0</v>
      </c>
      <c r="I45" s="310">
        <f t="shared" si="0"/>
        <v>0</v>
      </c>
      <c r="J45" s="113">
        <f t="shared" si="0"/>
        <v>0</v>
      </c>
    </row>
    <row r="46" spans="1:12">
      <c r="A46" s="311" t="s">
        <v>183</v>
      </c>
      <c r="B46" s="311" t="s">
        <v>184</v>
      </c>
      <c r="C46" s="186">
        <v>649677379.1500001</v>
      </c>
      <c r="D46" s="186">
        <v>0</v>
      </c>
      <c r="E46" s="186">
        <v>4174500</v>
      </c>
      <c r="F46" s="186">
        <v>0</v>
      </c>
      <c r="G46" s="186">
        <v>653851879.1500001</v>
      </c>
      <c r="H46" s="186">
        <v>0</v>
      </c>
      <c r="I46" s="310">
        <f t="shared" si="0"/>
        <v>4174500</v>
      </c>
      <c r="J46" s="113">
        <f t="shared" si="0"/>
        <v>0</v>
      </c>
    </row>
    <row r="47" spans="1:12">
      <c r="A47" s="311" t="s">
        <v>181</v>
      </c>
      <c r="B47" s="311" t="s">
        <v>182</v>
      </c>
      <c r="C47" s="186">
        <v>142226592.81999999</v>
      </c>
      <c r="D47" s="186">
        <v>0</v>
      </c>
      <c r="E47" s="186">
        <v>0</v>
      </c>
      <c r="F47" s="186">
        <v>980000</v>
      </c>
      <c r="G47" s="186">
        <v>141246592.81999999</v>
      </c>
      <c r="H47" s="186">
        <v>0</v>
      </c>
      <c r="I47" s="310">
        <f t="shared" si="0"/>
        <v>-980000</v>
      </c>
      <c r="J47" s="113">
        <f t="shared" si="0"/>
        <v>0</v>
      </c>
      <c r="L47" s="238">
        <f>+SUM(I6:I48)</f>
        <v>-2845595617.5299997</v>
      </c>
    </row>
    <row r="48" spans="1:12">
      <c r="A48" s="311" t="s">
        <v>185</v>
      </c>
      <c r="B48" s="311" t="s">
        <v>186</v>
      </c>
      <c r="C48" s="186">
        <v>381089662.11000001</v>
      </c>
      <c r="D48" s="186">
        <v>0</v>
      </c>
      <c r="E48" s="186">
        <v>0</v>
      </c>
      <c r="F48" s="186">
        <v>0</v>
      </c>
      <c r="G48" s="186">
        <v>381089662.11000001</v>
      </c>
      <c r="H48" s="186">
        <v>0</v>
      </c>
      <c r="I48" s="310">
        <f t="shared" si="0"/>
        <v>0</v>
      </c>
      <c r="J48" s="113">
        <f t="shared" si="0"/>
        <v>0</v>
      </c>
    </row>
    <row r="49" spans="1:10">
      <c r="A49" s="221" t="s">
        <v>198</v>
      </c>
      <c r="B49" s="221" t="s">
        <v>199</v>
      </c>
      <c r="C49" s="186">
        <v>0</v>
      </c>
      <c r="D49" s="186">
        <v>77422229.310000002</v>
      </c>
      <c r="E49" s="186">
        <v>0</v>
      </c>
      <c r="F49" s="186">
        <v>4943231.9299999988</v>
      </c>
      <c r="G49" s="186">
        <v>0</v>
      </c>
      <c r="H49" s="186">
        <v>82365461.239999995</v>
      </c>
      <c r="I49" s="113">
        <f t="shared" si="0"/>
        <v>0</v>
      </c>
      <c r="J49" s="222">
        <f t="shared" si="0"/>
        <v>4943231.9299999923</v>
      </c>
    </row>
    <row r="50" spans="1:10">
      <c r="A50" s="221" t="s">
        <v>196</v>
      </c>
      <c r="B50" s="221" t="s">
        <v>197</v>
      </c>
      <c r="C50" s="186">
        <v>0</v>
      </c>
      <c r="D50" s="186">
        <v>296235624.97000003</v>
      </c>
      <c r="E50" s="186">
        <v>0</v>
      </c>
      <c r="F50" s="186">
        <v>10337898.189999999</v>
      </c>
      <c r="G50" s="186">
        <v>0</v>
      </c>
      <c r="H50" s="186">
        <v>306573523.16000003</v>
      </c>
      <c r="I50" s="113">
        <f t="shared" si="0"/>
        <v>0</v>
      </c>
      <c r="J50" s="222">
        <f t="shared" si="0"/>
        <v>10337898.189999998</v>
      </c>
    </row>
    <row r="51" spans="1:10">
      <c r="A51" s="221" t="s">
        <v>190</v>
      </c>
      <c r="B51" s="221" t="s">
        <v>191</v>
      </c>
      <c r="C51" s="186">
        <v>0</v>
      </c>
      <c r="D51" s="186">
        <v>370568373.79999995</v>
      </c>
      <c r="E51" s="186">
        <v>0</v>
      </c>
      <c r="F51" s="186">
        <v>12749914.560000001</v>
      </c>
      <c r="G51" s="186">
        <v>0</v>
      </c>
      <c r="H51" s="186">
        <v>383318288.3599999</v>
      </c>
      <c r="I51" s="113">
        <f t="shared" si="0"/>
        <v>0</v>
      </c>
      <c r="J51" s="222">
        <f t="shared" si="0"/>
        <v>12749914.559999943</v>
      </c>
    </row>
    <row r="52" spans="1:10">
      <c r="A52" s="221" t="s">
        <v>188</v>
      </c>
      <c r="B52" s="221" t="s">
        <v>189</v>
      </c>
      <c r="C52" s="186">
        <v>0</v>
      </c>
      <c r="D52" s="186">
        <v>138554178.96999997</v>
      </c>
      <c r="E52" s="186">
        <v>0</v>
      </c>
      <c r="F52" s="186">
        <v>5371098.2699999996</v>
      </c>
      <c r="G52" s="186">
        <v>0</v>
      </c>
      <c r="H52" s="186">
        <v>143925277.23999995</v>
      </c>
      <c r="I52" s="113">
        <f t="shared" si="0"/>
        <v>0</v>
      </c>
      <c r="J52" s="222">
        <f t="shared" si="0"/>
        <v>5371098.2699999809</v>
      </c>
    </row>
    <row r="53" spans="1:10">
      <c r="A53" s="221" t="s">
        <v>194</v>
      </c>
      <c r="B53" s="221" t="s">
        <v>195</v>
      </c>
      <c r="C53" s="186">
        <v>0</v>
      </c>
      <c r="D53" s="186">
        <v>25848578.120000001</v>
      </c>
      <c r="E53" s="186">
        <v>37568.46</v>
      </c>
      <c r="F53" s="186">
        <v>1160127.6599999999</v>
      </c>
      <c r="G53" s="186">
        <v>0</v>
      </c>
      <c r="H53" s="186">
        <v>26971137.32</v>
      </c>
      <c r="I53" s="113">
        <f t="shared" si="0"/>
        <v>0</v>
      </c>
      <c r="J53" s="222">
        <f t="shared" si="0"/>
        <v>1122559.1999999993</v>
      </c>
    </row>
    <row r="54" spans="1:10">
      <c r="A54" s="221" t="s">
        <v>192</v>
      </c>
      <c r="B54" s="221" t="s">
        <v>193</v>
      </c>
      <c r="C54" s="186">
        <v>0</v>
      </c>
      <c r="D54" s="186">
        <v>89156262.870000005</v>
      </c>
      <c r="E54" s="186">
        <v>0</v>
      </c>
      <c r="F54" s="186">
        <v>3129690.55</v>
      </c>
      <c r="G54" s="186">
        <v>0</v>
      </c>
      <c r="H54" s="186">
        <v>92285953.420000002</v>
      </c>
      <c r="I54" s="113">
        <f t="shared" si="0"/>
        <v>0</v>
      </c>
      <c r="J54" s="222">
        <f t="shared" si="0"/>
        <v>3129690.549999997</v>
      </c>
    </row>
    <row r="55" spans="1:10">
      <c r="A55" s="308" t="s">
        <v>227</v>
      </c>
      <c r="B55" s="308" t="s">
        <v>228</v>
      </c>
      <c r="C55" s="186">
        <v>0</v>
      </c>
      <c r="D55" s="186">
        <v>0</v>
      </c>
      <c r="E55" s="186">
        <v>67517477</v>
      </c>
      <c r="F55" s="186">
        <v>75648011</v>
      </c>
      <c r="G55" s="186">
        <v>0</v>
      </c>
      <c r="H55" s="186">
        <v>8130534</v>
      </c>
      <c r="I55" s="113">
        <f t="shared" si="0"/>
        <v>0</v>
      </c>
      <c r="J55" s="307">
        <f t="shared" si="0"/>
        <v>8130534</v>
      </c>
    </row>
    <row r="56" spans="1:10">
      <c r="A56" s="243" t="s">
        <v>222</v>
      </c>
      <c r="B56" s="243" t="s">
        <v>223</v>
      </c>
      <c r="C56" s="186">
        <v>0</v>
      </c>
      <c r="D56" s="186">
        <v>104017012</v>
      </c>
      <c r="E56" s="186">
        <v>232770541</v>
      </c>
      <c r="F56" s="186">
        <v>334119424</v>
      </c>
      <c r="G56" s="186">
        <v>0</v>
      </c>
      <c r="H56" s="186">
        <v>205365895</v>
      </c>
      <c r="I56" s="113">
        <f t="shared" si="0"/>
        <v>0</v>
      </c>
      <c r="J56" s="244">
        <f>+H56-D56</f>
        <v>101348883</v>
      </c>
    </row>
    <row r="57" spans="1:10">
      <c r="A57" s="243" t="s">
        <v>224</v>
      </c>
      <c r="B57" s="243" t="s">
        <v>225</v>
      </c>
      <c r="C57" s="186">
        <v>0</v>
      </c>
      <c r="D57" s="186">
        <v>37956098685</v>
      </c>
      <c r="E57" s="186">
        <v>6396092184</v>
      </c>
      <c r="F57" s="186">
        <v>2998047564</v>
      </c>
      <c r="G57" s="186">
        <v>0</v>
      </c>
      <c r="H57" s="186">
        <v>34558054065</v>
      </c>
      <c r="I57" s="113">
        <f t="shared" si="0"/>
        <v>0</v>
      </c>
      <c r="J57" s="244">
        <f t="shared" si="0"/>
        <v>-3398044620</v>
      </c>
    </row>
    <row r="58" spans="1:10">
      <c r="A58" s="243" t="s">
        <v>290</v>
      </c>
      <c r="B58" s="243" t="s">
        <v>291</v>
      </c>
      <c r="C58" s="186">
        <v>0</v>
      </c>
      <c r="D58" s="186">
        <v>0</v>
      </c>
      <c r="E58" s="186">
        <v>0</v>
      </c>
      <c r="F58" s="186">
        <v>0</v>
      </c>
      <c r="G58" s="186">
        <v>0</v>
      </c>
      <c r="H58" s="186">
        <v>0</v>
      </c>
      <c r="I58" s="113">
        <f t="shared" si="0"/>
        <v>0</v>
      </c>
      <c r="J58" s="244">
        <f t="shared" si="0"/>
        <v>0</v>
      </c>
    </row>
    <row r="59" spans="1:10">
      <c r="A59" s="243" t="s">
        <v>220</v>
      </c>
      <c r="B59" s="243" t="s">
        <v>221</v>
      </c>
      <c r="C59" s="186">
        <v>1.3425946235656738E-5</v>
      </c>
      <c r="D59" s="186">
        <v>0</v>
      </c>
      <c r="E59" s="186">
        <v>0</v>
      </c>
      <c r="F59" s="186">
        <v>0</v>
      </c>
      <c r="G59" s="186">
        <v>1.3425946235656738E-5</v>
      </c>
      <c r="H59" s="186">
        <v>0</v>
      </c>
      <c r="I59" s="113">
        <f t="shared" si="0"/>
        <v>0</v>
      </c>
      <c r="J59" s="244">
        <f t="shared" si="0"/>
        <v>0</v>
      </c>
    </row>
    <row r="60" spans="1:10">
      <c r="A60" s="239" t="s">
        <v>230</v>
      </c>
      <c r="B60" s="239" t="s">
        <v>231</v>
      </c>
      <c r="C60" s="186">
        <v>0</v>
      </c>
      <c r="D60" s="186">
        <v>0.22000002861022949</v>
      </c>
      <c r="E60" s="186">
        <v>120995945.22</v>
      </c>
      <c r="F60" s="186">
        <v>120995945</v>
      </c>
      <c r="G60" s="186">
        <v>0</v>
      </c>
      <c r="H60" s="186">
        <v>3.8146972656250001E-8</v>
      </c>
      <c r="I60" s="113">
        <f t="shared" si="0"/>
        <v>0</v>
      </c>
      <c r="J60" s="205">
        <f>+H60-D60</f>
        <v>-0.21999999046325683</v>
      </c>
    </row>
    <row r="61" spans="1:10">
      <c r="A61" s="309" t="s">
        <v>233</v>
      </c>
      <c r="B61" s="309" t="s">
        <v>292</v>
      </c>
      <c r="C61" s="186">
        <v>30.000000953674316</v>
      </c>
      <c r="D61" s="186">
        <v>0</v>
      </c>
      <c r="E61" s="186">
        <v>0</v>
      </c>
      <c r="F61" s="186">
        <v>30</v>
      </c>
      <c r="G61" s="186">
        <v>9.5367431640625E-7</v>
      </c>
      <c r="H61" s="186">
        <v>0</v>
      </c>
      <c r="I61" s="310">
        <f t="shared" si="0"/>
        <v>-30</v>
      </c>
      <c r="J61" s="306">
        <f t="shared" si="0"/>
        <v>0</v>
      </c>
    </row>
    <row r="62" spans="1:10">
      <c r="A62" s="309" t="s">
        <v>235</v>
      </c>
      <c r="B62" s="309" t="s">
        <v>236</v>
      </c>
      <c r="C62" s="186">
        <v>0</v>
      </c>
      <c r="D62" s="186">
        <v>0</v>
      </c>
      <c r="E62" s="186">
        <v>0</v>
      </c>
      <c r="F62" s="186">
        <v>13417400.119999999</v>
      </c>
      <c r="G62" s="186">
        <v>0</v>
      </c>
      <c r="H62" s="186">
        <v>13417400.119999999</v>
      </c>
      <c r="I62" s="113">
        <f t="shared" si="0"/>
        <v>0</v>
      </c>
      <c r="J62" s="306">
        <f t="shared" si="0"/>
        <v>13417400.119999999</v>
      </c>
    </row>
    <row r="63" spans="1:10">
      <c r="A63" s="309" t="s">
        <v>237</v>
      </c>
      <c r="B63" s="309" t="s">
        <v>238</v>
      </c>
      <c r="C63" s="186">
        <v>0</v>
      </c>
      <c r="D63" s="186">
        <v>19793655.889999986</v>
      </c>
      <c r="E63" s="186">
        <v>19793657</v>
      </c>
      <c r="F63" s="186">
        <v>12731562</v>
      </c>
      <c r="G63" s="186">
        <v>0</v>
      </c>
      <c r="H63" s="186">
        <v>12731560.889999986</v>
      </c>
      <c r="I63" s="113">
        <f t="shared" si="0"/>
        <v>0</v>
      </c>
      <c r="J63" s="306">
        <f t="shared" si="0"/>
        <v>-7062095</v>
      </c>
    </row>
    <row r="64" spans="1:10">
      <c r="A64" s="309" t="s">
        <v>250</v>
      </c>
      <c r="B64" s="309" t="s">
        <v>251</v>
      </c>
      <c r="C64" s="186">
        <v>0</v>
      </c>
      <c r="D64" s="186">
        <v>183064544.14000005</v>
      </c>
      <c r="E64" s="186">
        <v>56025384</v>
      </c>
      <c r="F64" s="186">
        <v>78068815.620000005</v>
      </c>
      <c r="G64" s="186">
        <v>0</v>
      </c>
      <c r="H64" s="186">
        <v>205107975.76000005</v>
      </c>
      <c r="I64" s="113">
        <f t="shared" si="0"/>
        <v>0</v>
      </c>
      <c r="J64" s="306">
        <f t="shared" si="0"/>
        <v>22043431.620000005</v>
      </c>
    </row>
    <row r="65" spans="1:10">
      <c r="A65" s="309" t="s">
        <v>240</v>
      </c>
      <c r="B65" s="309" t="s">
        <v>241</v>
      </c>
      <c r="C65" s="186">
        <v>0</v>
      </c>
      <c r="D65" s="186">
        <v>20493076.5</v>
      </c>
      <c r="E65" s="186">
        <v>20538492</v>
      </c>
      <c r="F65" s="186">
        <v>20749540.5</v>
      </c>
      <c r="G65" s="186">
        <v>0</v>
      </c>
      <c r="H65" s="186">
        <v>20704125</v>
      </c>
      <c r="I65" s="113">
        <f t="shared" si="0"/>
        <v>0</v>
      </c>
      <c r="J65" s="306">
        <f t="shared" si="0"/>
        <v>211048.5</v>
      </c>
    </row>
    <row r="66" spans="1:10">
      <c r="A66" s="309" t="s">
        <v>244</v>
      </c>
      <c r="B66" s="309" t="s">
        <v>245</v>
      </c>
      <c r="C66" s="186">
        <v>0</v>
      </c>
      <c r="D66" s="186">
        <v>2485404</v>
      </c>
      <c r="E66" s="186">
        <v>2490912</v>
      </c>
      <c r="F66" s="186">
        <v>2516508</v>
      </c>
      <c r="G66" s="186">
        <v>0</v>
      </c>
      <c r="H66" s="186">
        <v>2511000</v>
      </c>
      <c r="I66" s="113">
        <f t="shared" si="0"/>
        <v>0</v>
      </c>
      <c r="J66" s="306">
        <f t="shared" si="0"/>
        <v>25596</v>
      </c>
    </row>
    <row r="67" spans="1:10">
      <c r="A67" s="309" t="s">
        <v>248</v>
      </c>
      <c r="B67" s="309" t="s">
        <v>249</v>
      </c>
      <c r="C67" s="186">
        <v>0</v>
      </c>
      <c r="D67" s="186">
        <v>639351407.64999986</v>
      </c>
      <c r="E67" s="186">
        <v>0</v>
      </c>
      <c r="F67" s="186">
        <v>47324000</v>
      </c>
      <c r="G67" s="186">
        <v>0</v>
      </c>
      <c r="H67" s="186">
        <v>686675407.64999986</v>
      </c>
      <c r="I67" s="113">
        <f t="shared" si="0"/>
        <v>0</v>
      </c>
      <c r="J67" s="306">
        <f t="shared" si="0"/>
        <v>47324000</v>
      </c>
    </row>
    <row r="68" spans="1:10">
      <c r="A68" s="309" t="s">
        <v>252</v>
      </c>
      <c r="B68" s="309" t="s">
        <v>253</v>
      </c>
      <c r="C68" s="186">
        <v>0</v>
      </c>
      <c r="D68" s="186">
        <v>0</v>
      </c>
      <c r="E68" s="186">
        <v>0</v>
      </c>
      <c r="F68" s="186">
        <v>0</v>
      </c>
      <c r="G68" s="186">
        <v>0</v>
      </c>
      <c r="H68" s="186">
        <v>0</v>
      </c>
      <c r="I68" s="113">
        <f t="shared" si="0"/>
        <v>0</v>
      </c>
      <c r="J68" s="306">
        <f t="shared" si="0"/>
        <v>0</v>
      </c>
    </row>
    <row r="69" spans="1:10">
      <c r="A69" s="309" t="s">
        <v>242</v>
      </c>
      <c r="B69" s="309" t="s">
        <v>243</v>
      </c>
      <c r="C69" s="186">
        <v>0</v>
      </c>
      <c r="D69" s="186">
        <v>7230130</v>
      </c>
      <c r="E69" s="186">
        <v>230640</v>
      </c>
      <c r="F69" s="186">
        <v>7233010</v>
      </c>
      <c r="G69" s="186">
        <v>0</v>
      </c>
      <c r="H69" s="186">
        <v>14232500</v>
      </c>
      <c r="I69" s="113">
        <f t="shared" si="0"/>
        <v>0</v>
      </c>
      <c r="J69" s="306">
        <f t="shared" si="0"/>
        <v>7002370</v>
      </c>
    </row>
    <row r="70" spans="1:10">
      <c r="A70" s="288" t="s">
        <v>246</v>
      </c>
      <c r="B70" s="288" t="s">
        <v>247</v>
      </c>
      <c r="C70" s="186">
        <v>0</v>
      </c>
      <c r="D70" s="186">
        <v>290706739.69000047</v>
      </c>
      <c r="E70" s="186">
        <v>290706739.69</v>
      </c>
      <c r="F70" s="186">
        <v>34544946.829999998</v>
      </c>
      <c r="G70" s="186">
        <v>0</v>
      </c>
      <c r="H70" s="186">
        <v>34544946.83000046</v>
      </c>
      <c r="I70" s="113">
        <f t="shared" ref="I70:J77" si="1">+G70-C70</f>
        <v>0</v>
      </c>
      <c r="J70" s="284">
        <f t="shared" si="1"/>
        <v>-256161792.86000001</v>
      </c>
    </row>
    <row r="71" spans="1:10">
      <c r="A71" s="288" t="s">
        <v>293</v>
      </c>
      <c r="B71" s="288" t="s">
        <v>294</v>
      </c>
      <c r="C71" s="186">
        <v>0</v>
      </c>
      <c r="D71" s="186">
        <v>0</v>
      </c>
      <c r="E71" s="186">
        <v>0</v>
      </c>
      <c r="F71" s="186">
        <v>0</v>
      </c>
      <c r="G71" s="186">
        <v>0</v>
      </c>
      <c r="H71" s="186">
        <v>0</v>
      </c>
      <c r="I71" s="113">
        <f t="shared" si="1"/>
        <v>0</v>
      </c>
      <c r="J71" s="284">
        <f t="shared" si="1"/>
        <v>0</v>
      </c>
    </row>
    <row r="72" spans="1:10">
      <c r="A72" s="288" t="s">
        <v>254</v>
      </c>
      <c r="B72" s="288" t="s">
        <v>255</v>
      </c>
      <c r="C72" s="186">
        <v>0</v>
      </c>
      <c r="D72" s="186">
        <v>0</v>
      </c>
      <c r="E72" s="186">
        <v>0</v>
      </c>
      <c r="F72" s="186">
        <v>0</v>
      </c>
      <c r="G72" s="186">
        <v>0</v>
      </c>
      <c r="H72" s="186">
        <v>0</v>
      </c>
      <c r="I72" s="113">
        <f t="shared" si="1"/>
        <v>0</v>
      </c>
      <c r="J72" s="284">
        <f t="shared" si="1"/>
        <v>0</v>
      </c>
    </row>
    <row r="73" spans="1:10">
      <c r="A73" s="308" t="s">
        <v>257</v>
      </c>
      <c r="B73" s="308" t="s">
        <v>258</v>
      </c>
      <c r="C73" s="186">
        <v>0</v>
      </c>
      <c r="D73" s="186">
        <v>100000000000</v>
      </c>
      <c r="E73" s="186">
        <v>0</v>
      </c>
      <c r="F73" s="186">
        <v>0</v>
      </c>
      <c r="G73" s="186">
        <v>0</v>
      </c>
      <c r="H73" s="186">
        <v>100000000000</v>
      </c>
      <c r="I73" s="113">
        <f t="shared" si="1"/>
        <v>0</v>
      </c>
      <c r="J73" s="307">
        <f t="shared" si="1"/>
        <v>0</v>
      </c>
    </row>
    <row r="74" spans="1:10">
      <c r="A74" s="308" t="s">
        <v>646</v>
      </c>
      <c r="B74" s="308" t="s">
        <v>647</v>
      </c>
      <c r="C74" s="186">
        <v>0</v>
      </c>
      <c r="D74" s="186">
        <v>0</v>
      </c>
      <c r="E74" s="186">
        <v>0</v>
      </c>
      <c r="F74" s="186">
        <v>379987925</v>
      </c>
      <c r="G74" s="186">
        <v>0</v>
      </c>
      <c r="H74" s="186">
        <v>379987925</v>
      </c>
      <c r="I74" s="113">
        <f t="shared" si="1"/>
        <v>0</v>
      </c>
      <c r="J74" s="307">
        <f>+H74-D74</f>
        <v>379987925</v>
      </c>
    </row>
    <row r="75" spans="1:10">
      <c r="A75" s="308" t="s">
        <v>260</v>
      </c>
      <c r="B75" s="308" t="s">
        <v>261</v>
      </c>
      <c r="C75" s="186">
        <v>0</v>
      </c>
      <c r="D75" s="186">
        <v>191823715.77000001</v>
      </c>
      <c r="E75" s="186">
        <v>0</v>
      </c>
      <c r="F75" s="186">
        <v>3837217037.0900002</v>
      </c>
      <c r="G75" s="186">
        <v>0</v>
      </c>
      <c r="H75" s="186">
        <v>4029040752.8600001</v>
      </c>
      <c r="I75" s="113">
        <f t="shared" si="1"/>
        <v>0</v>
      </c>
      <c r="J75" s="307">
        <f>+H75-D75</f>
        <v>3837217037.0900002</v>
      </c>
    </row>
    <row r="76" spans="1:10">
      <c r="A76" s="308" t="s">
        <v>263</v>
      </c>
      <c r="B76" s="308" t="s">
        <v>264</v>
      </c>
      <c r="C76" s="186">
        <v>0</v>
      </c>
      <c r="D76" s="186">
        <v>0</v>
      </c>
      <c r="E76" s="186">
        <v>0</v>
      </c>
      <c r="F76" s="186">
        <v>0</v>
      </c>
      <c r="G76" s="186">
        <v>0</v>
      </c>
      <c r="H76" s="186">
        <v>0</v>
      </c>
      <c r="I76" s="113">
        <f t="shared" si="1"/>
        <v>0</v>
      </c>
      <c r="J76" s="307">
        <f t="shared" si="1"/>
        <v>0</v>
      </c>
    </row>
    <row r="77" spans="1:10">
      <c r="A77" s="308" t="s">
        <v>627</v>
      </c>
      <c r="B77" s="308" t="s">
        <v>628</v>
      </c>
      <c r="C77" s="186">
        <v>0</v>
      </c>
      <c r="D77" s="186">
        <v>3799879255.0900002</v>
      </c>
      <c r="E77" s="186">
        <v>4217204962.0900002</v>
      </c>
      <c r="F77" s="186">
        <v>417325707</v>
      </c>
      <c r="G77" s="186">
        <v>0</v>
      </c>
      <c r="H77" s="186">
        <v>0</v>
      </c>
      <c r="I77" s="113">
        <f t="shared" si="1"/>
        <v>0</v>
      </c>
      <c r="J77" s="307">
        <f>+H77-D77</f>
        <v>-3799879255.0900002</v>
      </c>
    </row>
    <row r="78" spans="1:10" s="296" customFormat="1" ht="12.75">
      <c r="A78" s="446" t="s">
        <v>631</v>
      </c>
      <c r="B78" s="446"/>
      <c r="C78" s="295">
        <f>SUM(C5:C77)</f>
        <v>145073828820.25</v>
      </c>
      <c r="D78" s="295">
        <f t="shared" ref="D78:J78" si="2">SUM(D5:D77)</f>
        <v>144212728873.98999</v>
      </c>
      <c r="E78" s="295">
        <f t="shared" si="2"/>
        <v>17270831624.09</v>
      </c>
      <c r="F78" s="295">
        <f t="shared" si="2"/>
        <v>17109642126.480003</v>
      </c>
      <c r="G78" s="295">
        <f t="shared" si="2"/>
        <v>142228233172.72</v>
      </c>
      <c r="H78" s="295">
        <f t="shared" si="2"/>
        <v>141205943728.85001</v>
      </c>
      <c r="I78" s="295">
        <f t="shared" si="2"/>
        <v>-2845595647.5299997</v>
      </c>
      <c r="J78" s="295">
        <f t="shared" si="2"/>
        <v>-3006785145.1400003</v>
      </c>
    </row>
    <row r="79" spans="1:10">
      <c r="A79" s="102"/>
      <c r="B79" s="102" t="s">
        <v>648</v>
      </c>
      <c r="C79" s="186"/>
      <c r="D79" s="186">
        <f>+C78-D78</f>
        <v>861099946.26000977</v>
      </c>
      <c r="E79" s="186"/>
      <c r="F79" s="186">
        <f>+E78-F78</f>
        <v>161189497.6099968</v>
      </c>
      <c r="G79" s="186"/>
      <c r="H79" s="186">
        <f>+G78-H78</f>
        <v>1022289443.8699951</v>
      </c>
      <c r="I79" s="297">
        <f>+I78-J78</f>
        <v>161189497.61000061</v>
      </c>
      <c r="J79" s="102" t="s">
        <v>649</v>
      </c>
    </row>
    <row r="80" spans="1:10">
      <c r="A80" s="102"/>
      <c r="B80" s="102"/>
      <c r="C80" s="186"/>
      <c r="D80" s="186"/>
      <c r="E80" s="186"/>
      <c r="F80" s="186"/>
      <c r="G80" s="186"/>
      <c r="H80" s="186"/>
      <c r="I80" s="178"/>
    </row>
    <row r="81" spans="1:9">
      <c r="A81" s="102"/>
      <c r="B81" s="102"/>
      <c r="C81" s="186"/>
      <c r="D81" s="186"/>
      <c r="E81" s="186"/>
      <c r="F81" s="186"/>
      <c r="G81" s="186"/>
      <c r="H81" s="186"/>
    </row>
    <row r="82" spans="1:9">
      <c r="A82" s="232"/>
      <c r="B82" s="232"/>
      <c r="C82" s="294" t="s">
        <v>272</v>
      </c>
      <c r="D82" s="294" t="s">
        <v>273</v>
      </c>
      <c r="E82" s="294" t="s">
        <v>272</v>
      </c>
      <c r="F82" s="294" t="s">
        <v>273</v>
      </c>
      <c r="G82" s="294" t="s">
        <v>272</v>
      </c>
      <c r="H82" s="294" t="s">
        <v>273</v>
      </c>
    </row>
    <row r="83" spans="1:9">
      <c r="A83" s="102" t="s">
        <v>297</v>
      </c>
      <c r="B83" s="102" t="s">
        <v>298</v>
      </c>
      <c r="C83" s="186">
        <v>103735692</v>
      </c>
      <c r="D83" s="186">
        <v>0</v>
      </c>
      <c r="E83" s="186">
        <v>20704125</v>
      </c>
      <c r="F83" s="186">
        <v>0</v>
      </c>
      <c r="G83" s="186">
        <v>124439817</v>
      </c>
      <c r="H83" s="186">
        <v>0</v>
      </c>
      <c r="I83" s="180">
        <f>+F83-E83</f>
        <v>-20704125</v>
      </c>
    </row>
    <row r="84" spans="1:9">
      <c r="A84" s="102" t="s">
        <v>299</v>
      </c>
      <c r="B84" s="102" t="s">
        <v>300</v>
      </c>
      <c r="C84" s="186">
        <v>12581568</v>
      </c>
      <c r="D84" s="186">
        <v>0</v>
      </c>
      <c r="E84" s="186">
        <v>2511000</v>
      </c>
      <c r="F84" s="186">
        <v>0</v>
      </c>
      <c r="G84" s="186">
        <v>15092568</v>
      </c>
      <c r="H84" s="186">
        <v>0</v>
      </c>
      <c r="I84" s="180">
        <f t="shared" ref="I84:I147" si="3">+F84-E84</f>
        <v>-2511000</v>
      </c>
    </row>
    <row r="85" spans="1:9">
      <c r="A85" s="102" t="s">
        <v>301</v>
      </c>
      <c r="B85" s="102" t="s">
        <v>302</v>
      </c>
      <c r="C85" s="186">
        <v>1093223.7799999998</v>
      </c>
      <c r="D85" s="186">
        <v>0</v>
      </c>
      <c r="E85" s="186">
        <v>260631.4</v>
      </c>
      <c r="F85" s="186">
        <v>0</v>
      </c>
      <c r="G85" s="186">
        <v>1353855.18</v>
      </c>
      <c r="H85" s="186">
        <v>0</v>
      </c>
      <c r="I85" s="180">
        <f t="shared" si="3"/>
        <v>-260631.4</v>
      </c>
    </row>
    <row r="86" spans="1:9">
      <c r="A86" s="102" t="s">
        <v>303</v>
      </c>
      <c r="B86" s="102" t="s">
        <v>304</v>
      </c>
      <c r="C86" s="186">
        <v>888315841</v>
      </c>
      <c r="D86" s="186">
        <v>0</v>
      </c>
      <c r="E86" s="186">
        <v>157750000</v>
      </c>
      <c r="F86" s="186">
        <v>0</v>
      </c>
      <c r="G86" s="186">
        <v>1046065841</v>
      </c>
      <c r="H86" s="186">
        <v>0</v>
      </c>
      <c r="I86" s="180">
        <f t="shared" si="3"/>
        <v>-157750000</v>
      </c>
    </row>
    <row r="87" spans="1:9">
      <c r="A87" s="102" t="s">
        <v>307</v>
      </c>
      <c r="B87" s="102" t="s">
        <v>308</v>
      </c>
      <c r="C87" s="186">
        <v>52702167</v>
      </c>
      <c r="D87" s="186">
        <v>0</v>
      </c>
      <c r="E87" s="186">
        <v>1145625</v>
      </c>
      <c r="F87" s="186">
        <v>0</v>
      </c>
      <c r="G87" s="186">
        <v>53847792</v>
      </c>
      <c r="H87" s="186">
        <v>0</v>
      </c>
      <c r="I87" s="180">
        <f t="shared" si="3"/>
        <v>-1145625</v>
      </c>
    </row>
    <row r="88" spans="1:9">
      <c r="A88" s="102" t="s">
        <v>311</v>
      </c>
      <c r="B88" s="102" t="s">
        <v>312</v>
      </c>
      <c r="C88" s="186">
        <v>50112277.229999997</v>
      </c>
      <c r="D88" s="186">
        <v>0</v>
      </c>
      <c r="E88" s="186">
        <v>9842764.4400000013</v>
      </c>
      <c r="F88" s="186">
        <v>0</v>
      </c>
      <c r="G88" s="186">
        <v>59955041.670000002</v>
      </c>
      <c r="H88" s="186">
        <v>0</v>
      </c>
      <c r="I88" s="180">
        <f t="shared" si="3"/>
        <v>-9842764.4400000013</v>
      </c>
    </row>
    <row r="89" spans="1:9">
      <c r="A89" s="102" t="s">
        <v>313</v>
      </c>
      <c r="B89" s="102" t="s">
        <v>314</v>
      </c>
      <c r="C89" s="186">
        <v>1000000</v>
      </c>
      <c r="D89" s="186">
        <v>0</v>
      </c>
      <c r="E89" s="186">
        <v>890000</v>
      </c>
      <c r="F89" s="186">
        <v>0</v>
      </c>
      <c r="G89" s="186">
        <v>1890000</v>
      </c>
      <c r="H89" s="186">
        <v>0</v>
      </c>
      <c r="I89" s="180">
        <f t="shared" si="3"/>
        <v>-890000</v>
      </c>
    </row>
    <row r="90" spans="1:9">
      <c r="A90" s="102" t="s">
        <v>315</v>
      </c>
      <c r="B90" s="102" t="s">
        <v>316</v>
      </c>
      <c r="C90" s="186">
        <v>83283871</v>
      </c>
      <c r="D90" s="186">
        <v>0</v>
      </c>
      <c r="E90" s="186">
        <v>16200000</v>
      </c>
      <c r="F90" s="186">
        <v>0</v>
      </c>
      <c r="G90" s="186">
        <v>99483871</v>
      </c>
      <c r="H90" s="186">
        <v>0</v>
      </c>
      <c r="I90" s="180">
        <f t="shared" si="3"/>
        <v>-16200000</v>
      </c>
    </row>
    <row r="91" spans="1:9">
      <c r="A91" s="102" t="s">
        <v>317</v>
      </c>
      <c r="B91" s="102" t="s">
        <v>318</v>
      </c>
      <c r="C91" s="186">
        <v>47400000</v>
      </c>
      <c r="D91" s="186">
        <v>0</v>
      </c>
      <c r="E91" s="186">
        <v>0</v>
      </c>
      <c r="F91" s="186">
        <v>0</v>
      </c>
      <c r="G91" s="186">
        <v>47400000</v>
      </c>
      <c r="H91" s="186">
        <v>0</v>
      </c>
      <c r="I91" s="180">
        <f t="shared" si="3"/>
        <v>0</v>
      </c>
    </row>
    <row r="92" spans="1:9">
      <c r="A92" s="102" t="s">
        <v>319</v>
      </c>
      <c r="B92" s="102" t="s">
        <v>320</v>
      </c>
      <c r="C92" s="186">
        <v>21473684</v>
      </c>
      <c r="D92" s="186">
        <v>0</v>
      </c>
      <c r="E92" s="186">
        <v>0</v>
      </c>
      <c r="F92" s="186">
        <v>0</v>
      </c>
      <c r="G92" s="186">
        <v>21473684</v>
      </c>
      <c r="H92" s="186">
        <v>0</v>
      </c>
      <c r="I92" s="180">
        <f t="shared" si="3"/>
        <v>0</v>
      </c>
    </row>
    <row r="93" spans="1:9">
      <c r="A93" s="102" t="s">
        <v>321</v>
      </c>
      <c r="B93" s="102" t="s">
        <v>322</v>
      </c>
      <c r="C93" s="186">
        <v>68527320</v>
      </c>
      <c r="D93" s="186">
        <v>0</v>
      </c>
      <c r="E93" s="186">
        <v>0</v>
      </c>
      <c r="F93" s="186">
        <v>0</v>
      </c>
      <c r="G93" s="186">
        <v>68527320</v>
      </c>
      <c r="H93" s="186">
        <v>0</v>
      </c>
      <c r="I93" s="180">
        <f t="shared" si="3"/>
        <v>0</v>
      </c>
    </row>
    <row r="94" spans="1:9">
      <c r="A94" s="102" t="s">
        <v>327</v>
      </c>
      <c r="B94" s="102" t="s">
        <v>328</v>
      </c>
      <c r="C94" s="186">
        <v>1300000</v>
      </c>
      <c r="D94" s="186">
        <v>0</v>
      </c>
      <c r="E94" s="186">
        <v>2548000</v>
      </c>
      <c r="F94" s="186">
        <v>0</v>
      </c>
      <c r="G94" s="186">
        <v>3848000</v>
      </c>
      <c r="H94" s="186">
        <v>0</v>
      </c>
      <c r="I94" s="180">
        <f t="shared" si="3"/>
        <v>-2548000</v>
      </c>
    </row>
    <row r="95" spans="1:9">
      <c r="A95" s="102" t="s">
        <v>329</v>
      </c>
      <c r="B95" s="102" t="s">
        <v>330</v>
      </c>
      <c r="C95" s="186">
        <v>10379140</v>
      </c>
      <c r="D95" s="186">
        <v>0</v>
      </c>
      <c r="E95" s="186">
        <v>0</v>
      </c>
      <c r="F95" s="186">
        <v>0</v>
      </c>
      <c r="G95" s="186">
        <v>10379140</v>
      </c>
      <c r="H95" s="186">
        <v>0</v>
      </c>
      <c r="I95" s="180">
        <f t="shared" si="3"/>
        <v>0</v>
      </c>
    </row>
    <row r="96" spans="1:9">
      <c r="A96" s="102" t="s">
        <v>331</v>
      </c>
      <c r="B96" s="102" t="s">
        <v>332</v>
      </c>
      <c r="C96" s="186">
        <v>10758000</v>
      </c>
      <c r="D96" s="186">
        <v>0</v>
      </c>
      <c r="E96" s="186">
        <v>2190000</v>
      </c>
      <c r="F96" s="186">
        <v>0</v>
      </c>
      <c r="G96" s="186">
        <v>12948000</v>
      </c>
      <c r="H96" s="186">
        <v>0</v>
      </c>
      <c r="I96" s="180">
        <f t="shared" si="3"/>
        <v>-2190000</v>
      </c>
    </row>
    <row r="97" spans="1:9">
      <c r="A97" s="102" t="s">
        <v>333</v>
      </c>
      <c r="B97" s="102" t="s">
        <v>334</v>
      </c>
      <c r="C97" s="186">
        <v>15000000</v>
      </c>
      <c r="D97" s="186">
        <v>0</v>
      </c>
      <c r="E97" s="186">
        <v>3000000</v>
      </c>
      <c r="F97" s="186">
        <v>0</v>
      </c>
      <c r="G97" s="186">
        <v>18000000</v>
      </c>
      <c r="H97" s="186">
        <v>0</v>
      </c>
      <c r="I97" s="180">
        <f t="shared" si="3"/>
        <v>-3000000</v>
      </c>
    </row>
    <row r="98" spans="1:9">
      <c r="A98" s="102" t="s">
        <v>335</v>
      </c>
      <c r="B98" s="102" t="s">
        <v>336</v>
      </c>
      <c r="C98" s="186">
        <v>83180000</v>
      </c>
      <c r="D98" s="186">
        <v>0</v>
      </c>
      <c r="E98" s="186">
        <v>14400000</v>
      </c>
      <c r="F98" s="186">
        <v>0</v>
      </c>
      <c r="G98" s="186">
        <v>97580000</v>
      </c>
      <c r="H98" s="186">
        <v>0</v>
      </c>
      <c r="I98" s="180">
        <f t="shared" si="3"/>
        <v>-14400000</v>
      </c>
    </row>
    <row r="99" spans="1:9">
      <c r="A99" s="102" t="s">
        <v>337</v>
      </c>
      <c r="B99" s="102" t="s">
        <v>338</v>
      </c>
      <c r="C99" s="186">
        <v>100000</v>
      </c>
      <c r="D99" s="186">
        <v>0</v>
      </c>
      <c r="E99" s="186">
        <v>200000</v>
      </c>
      <c r="F99" s="186">
        <v>0</v>
      </c>
      <c r="G99" s="186">
        <v>300000</v>
      </c>
      <c r="H99" s="186">
        <v>0</v>
      </c>
      <c r="I99" s="180">
        <f t="shared" si="3"/>
        <v>-200000</v>
      </c>
    </row>
    <row r="100" spans="1:9">
      <c r="A100" s="102" t="s">
        <v>341</v>
      </c>
      <c r="B100" s="102" t="s">
        <v>342</v>
      </c>
      <c r="C100" s="186">
        <v>200366311.33000001</v>
      </c>
      <c r="D100" s="186">
        <v>0</v>
      </c>
      <c r="E100" s="186">
        <v>39809720.559999995</v>
      </c>
      <c r="F100" s="186">
        <v>0</v>
      </c>
      <c r="G100" s="186">
        <v>240176031.88999999</v>
      </c>
      <c r="H100" s="186">
        <v>0</v>
      </c>
      <c r="I100" s="180">
        <f t="shared" si="3"/>
        <v>-39809720.559999995</v>
      </c>
    </row>
    <row r="101" spans="1:9">
      <c r="A101" s="102" t="s">
        <v>343</v>
      </c>
      <c r="B101" s="102" t="s">
        <v>344</v>
      </c>
      <c r="C101" s="186">
        <v>105000</v>
      </c>
      <c r="D101" s="186">
        <v>0</v>
      </c>
      <c r="E101" s="186">
        <v>0</v>
      </c>
      <c r="F101" s="186">
        <v>0</v>
      </c>
      <c r="G101" s="186">
        <v>105000</v>
      </c>
      <c r="H101" s="186">
        <v>0</v>
      </c>
      <c r="I101" s="180">
        <f t="shared" si="3"/>
        <v>0</v>
      </c>
    </row>
    <row r="102" spans="1:9">
      <c r="A102" s="102" t="s">
        <v>345</v>
      </c>
      <c r="B102" s="102" t="s">
        <v>346</v>
      </c>
      <c r="C102" s="186">
        <v>1531780</v>
      </c>
      <c r="D102" s="186">
        <v>0</v>
      </c>
      <c r="E102" s="186">
        <v>5950000</v>
      </c>
      <c r="F102" s="186">
        <v>0</v>
      </c>
      <c r="G102" s="186">
        <v>7481780</v>
      </c>
      <c r="H102" s="186">
        <v>0</v>
      </c>
      <c r="I102" s="180">
        <f t="shared" si="3"/>
        <v>-5950000</v>
      </c>
    </row>
    <row r="103" spans="1:9">
      <c r="A103" s="102" t="s">
        <v>347</v>
      </c>
      <c r="B103" s="102" t="s">
        <v>348</v>
      </c>
      <c r="C103" s="186">
        <v>940000</v>
      </c>
      <c r="D103" s="186">
        <v>0</v>
      </c>
      <c r="E103" s="186">
        <v>0</v>
      </c>
      <c r="F103" s="186">
        <v>0</v>
      </c>
      <c r="G103" s="186">
        <v>940000</v>
      </c>
      <c r="H103" s="186">
        <v>0</v>
      </c>
      <c r="I103" s="180">
        <f t="shared" si="3"/>
        <v>0</v>
      </c>
    </row>
    <row r="104" spans="1:9">
      <c r="A104" s="102" t="s">
        <v>349</v>
      </c>
      <c r="B104" s="102" t="s">
        <v>350</v>
      </c>
      <c r="C104" s="186">
        <v>115368482.72999997</v>
      </c>
      <c r="D104" s="186">
        <v>0</v>
      </c>
      <c r="E104" s="186">
        <v>13370705.4</v>
      </c>
      <c r="F104" s="186">
        <v>0</v>
      </c>
      <c r="G104" s="186">
        <v>128739188.12999998</v>
      </c>
      <c r="H104" s="186">
        <v>0</v>
      </c>
      <c r="I104" s="180">
        <f t="shared" si="3"/>
        <v>-13370705.4</v>
      </c>
    </row>
    <row r="105" spans="1:9">
      <c r="A105" s="102" t="s">
        <v>351</v>
      </c>
      <c r="B105" s="102" t="s">
        <v>352</v>
      </c>
      <c r="C105" s="186">
        <v>76912307.149999991</v>
      </c>
      <c r="D105" s="186">
        <v>0</v>
      </c>
      <c r="E105" s="186">
        <v>8913800.5999999996</v>
      </c>
      <c r="F105" s="186">
        <v>0</v>
      </c>
      <c r="G105" s="186">
        <v>85826107.749999985</v>
      </c>
      <c r="H105" s="186">
        <v>0</v>
      </c>
      <c r="I105" s="180">
        <f t="shared" si="3"/>
        <v>-8913800.5999999996</v>
      </c>
    </row>
    <row r="106" spans="1:9">
      <c r="A106" s="102" t="s">
        <v>353</v>
      </c>
      <c r="B106" s="102" t="s">
        <v>354</v>
      </c>
      <c r="C106" s="186">
        <v>78912307.149999991</v>
      </c>
      <c r="D106" s="186">
        <v>0</v>
      </c>
      <c r="E106" s="186">
        <v>8913800.5999999996</v>
      </c>
      <c r="F106" s="186">
        <v>0</v>
      </c>
      <c r="G106" s="186">
        <v>87826107.75</v>
      </c>
      <c r="H106" s="186">
        <v>0</v>
      </c>
      <c r="I106" s="180">
        <f t="shared" si="3"/>
        <v>-8913800.5999999996</v>
      </c>
    </row>
    <row r="107" spans="1:9">
      <c r="A107" s="102" t="s">
        <v>355</v>
      </c>
      <c r="B107" s="102" t="s">
        <v>356</v>
      </c>
      <c r="C107" s="186">
        <v>0</v>
      </c>
      <c r="D107" s="186">
        <v>0</v>
      </c>
      <c r="E107" s="186">
        <v>13864221</v>
      </c>
      <c r="F107" s="186">
        <v>13864221</v>
      </c>
      <c r="G107" s="186">
        <v>0</v>
      </c>
      <c r="H107" s="186">
        <v>0</v>
      </c>
      <c r="I107" s="180">
        <f t="shared" si="3"/>
        <v>0</v>
      </c>
    </row>
    <row r="108" spans="1:9">
      <c r="A108" s="102" t="s">
        <v>357</v>
      </c>
      <c r="B108" s="102" t="s">
        <v>358</v>
      </c>
      <c r="C108" s="186">
        <v>153824665.28999999</v>
      </c>
      <c r="D108" s="186">
        <v>0</v>
      </c>
      <c r="E108" s="186">
        <v>17827609.199999999</v>
      </c>
      <c r="F108" s="186">
        <v>0</v>
      </c>
      <c r="G108" s="186">
        <v>171652274.49000001</v>
      </c>
      <c r="H108" s="186">
        <v>0</v>
      </c>
      <c r="I108" s="180">
        <f t="shared" si="3"/>
        <v>-17827609.199999999</v>
      </c>
    </row>
    <row r="109" spans="1:9">
      <c r="A109" s="102" t="s">
        <v>359</v>
      </c>
      <c r="B109" s="102" t="s">
        <v>360</v>
      </c>
      <c r="C109" s="186">
        <v>30794059.170000002</v>
      </c>
      <c r="D109" s="186">
        <v>0</v>
      </c>
      <c r="E109" s="186">
        <v>0</v>
      </c>
      <c r="F109" s="186">
        <v>0</v>
      </c>
      <c r="G109" s="186">
        <v>30794059.170000002</v>
      </c>
      <c r="H109" s="186">
        <v>0</v>
      </c>
      <c r="I109" s="180">
        <f t="shared" si="3"/>
        <v>0</v>
      </c>
    </row>
    <row r="110" spans="1:9">
      <c r="A110" s="102" t="s">
        <v>361</v>
      </c>
      <c r="B110" s="102" t="s">
        <v>362</v>
      </c>
      <c r="C110" s="186">
        <v>26354575.649999999</v>
      </c>
      <c r="D110" s="186">
        <v>0</v>
      </c>
      <c r="E110" s="186">
        <v>34544946.829999998</v>
      </c>
      <c r="F110" s="186">
        <v>0</v>
      </c>
      <c r="G110" s="186">
        <v>60899522.479999997</v>
      </c>
      <c r="H110" s="186">
        <v>0</v>
      </c>
      <c r="I110" s="180">
        <f t="shared" si="3"/>
        <v>-34544946.829999998</v>
      </c>
    </row>
    <row r="111" spans="1:9">
      <c r="A111" s="102" t="s">
        <v>363</v>
      </c>
      <c r="B111" s="102" t="s">
        <v>364</v>
      </c>
      <c r="C111" s="186">
        <v>4148500</v>
      </c>
      <c r="D111" s="186">
        <v>0</v>
      </c>
      <c r="E111" s="186">
        <v>27250000</v>
      </c>
      <c r="F111" s="186">
        <v>0</v>
      </c>
      <c r="G111" s="186">
        <v>31398500</v>
      </c>
      <c r="H111" s="186">
        <v>0</v>
      </c>
      <c r="I111" s="180">
        <f t="shared" si="3"/>
        <v>-27250000</v>
      </c>
    </row>
    <row r="112" spans="1:9">
      <c r="A112" s="102" t="s">
        <v>365</v>
      </c>
      <c r="B112" s="102" t="s">
        <v>366</v>
      </c>
      <c r="C112" s="186">
        <v>17086080</v>
      </c>
      <c r="D112" s="186">
        <v>0</v>
      </c>
      <c r="E112" s="186">
        <v>3410000</v>
      </c>
      <c r="F112" s="186">
        <v>0</v>
      </c>
      <c r="G112" s="186">
        <v>20496080</v>
      </c>
      <c r="H112" s="186">
        <v>0</v>
      </c>
      <c r="I112" s="180">
        <f t="shared" si="3"/>
        <v>-3410000</v>
      </c>
    </row>
    <row r="113" spans="1:9">
      <c r="A113" s="102" t="s">
        <v>367</v>
      </c>
      <c r="B113" s="102" t="s">
        <v>368</v>
      </c>
      <c r="C113" s="186">
        <v>6000000</v>
      </c>
      <c r="D113" s="186">
        <v>0</v>
      </c>
      <c r="E113" s="186">
        <v>0</v>
      </c>
      <c r="F113" s="186">
        <v>0</v>
      </c>
      <c r="G113" s="186">
        <v>6000000</v>
      </c>
      <c r="H113" s="186">
        <v>0</v>
      </c>
      <c r="I113" s="180">
        <f t="shared" si="3"/>
        <v>0</v>
      </c>
    </row>
    <row r="114" spans="1:9">
      <c r="A114" s="102" t="s">
        <v>369</v>
      </c>
      <c r="B114" s="102" t="s">
        <v>370</v>
      </c>
      <c r="C114" s="186">
        <v>279590400</v>
      </c>
      <c r="D114" s="186">
        <v>0</v>
      </c>
      <c r="E114" s="186">
        <v>55800000</v>
      </c>
      <c r="F114" s="186">
        <v>0</v>
      </c>
      <c r="G114" s="186">
        <v>335390400</v>
      </c>
      <c r="H114" s="186">
        <v>0</v>
      </c>
      <c r="I114" s="180">
        <f t="shared" si="3"/>
        <v>-55800000</v>
      </c>
    </row>
    <row r="115" spans="1:9">
      <c r="A115" s="102" t="s">
        <v>375</v>
      </c>
      <c r="B115" s="102" t="s">
        <v>376</v>
      </c>
      <c r="C115" s="186">
        <v>23975000</v>
      </c>
      <c r="D115" s="186">
        <v>0</v>
      </c>
      <c r="E115" s="186">
        <v>5190000</v>
      </c>
      <c r="F115" s="186">
        <v>0</v>
      </c>
      <c r="G115" s="186">
        <v>29165000</v>
      </c>
      <c r="H115" s="186">
        <v>0</v>
      </c>
      <c r="I115" s="180">
        <f t="shared" si="3"/>
        <v>-5190000</v>
      </c>
    </row>
    <row r="116" spans="1:9">
      <c r="A116" s="102" t="s">
        <v>377</v>
      </c>
      <c r="B116" s="102" t="s">
        <v>378</v>
      </c>
      <c r="C116" s="186">
        <v>25065000</v>
      </c>
      <c r="D116" s="186">
        <v>0</v>
      </c>
      <c r="E116" s="186">
        <v>7670000</v>
      </c>
      <c r="F116" s="186">
        <v>0</v>
      </c>
      <c r="G116" s="186">
        <v>32735000</v>
      </c>
      <c r="H116" s="186">
        <v>0</v>
      </c>
      <c r="I116" s="180">
        <f t="shared" si="3"/>
        <v>-7670000</v>
      </c>
    </row>
    <row r="117" spans="1:9">
      <c r="A117" s="102" t="s">
        <v>379</v>
      </c>
      <c r="B117" s="102" t="s">
        <v>380</v>
      </c>
      <c r="C117" s="186">
        <v>19753200</v>
      </c>
      <c r="D117" s="186">
        <v>0</v>
      </c>
      <c r="E117" s="186">
        <v>0</v>
      </c>
      <c r="F117" s="186">
        <v>0</v>
      </c>
      <c r="G117" s="186">
        <v>19753200</v>
      </c>
      <c r="H117" s="186">
        <v>0</v>
      </c>
      <c r="I117" s="180">
        <f t="shared" si="3"/>
        <v>0</v>
      </c>
    </row>
    <row r="118" spans="1:9">
      <c r="A118" s="102" t="s">
        <v>381</v>
      </c>
      <c r="B118" s="102" t="s">
        <v>382</v>
      </c>
      <c r="C118" s="186">
        <v>70000</v>
      </c>
      <c r="D118" s="186">
        <v>0</v>
      </c>
      <c r="E118" s="186">
        <v>0</v>
      </c>
      <c r="F118" s="186">
        <v>0</v>
      </c>
      <c r="G118" s="186">
        <v>70000</v>
      </c>
      <c r="H118" s="186">
        <v>0</v>
      </c>
      <c r="I118" s="180">
        <f t="shared" si="3"/>
        <v>0</v>
      </c>
    </row>
    <row r="119" spans="1:9">
      <c r="A119" s="102" t="s">
        <v>383</v>
      </c>
      <c r="B119" s="102" t="s">
        <v>384</v>
      </c>
      <c r="C119" s="186">
        <v>4170000</v>
      </c>
      <c r="D119" s="186">
        <v>0</v>
      </c>
      <c r="E119" s="186">
        <v>750000</v>
      </c>
      <c r="F119" s="186">
        <v>0</v>
      </c>
      <c r="G119" s="186">
        <v>4920000</v>
      </c>
      <c r="H119" s="186">
        <v>0</v>
      </c>
      <c r="I119" s="180">
        <f t="shared" si="3"/>
        <v>-750000</v>
      </c>
    </row>
    <row r="120" spans="1:9">
      <c r="A120" s="102" t="s">
        <v>385</v>
      </c>
      <c r="B120" s="102" t="s">
        <v>386</v>
      </c>
      <c r="C120" s="186">
        <v>12607400</v>
      </c>
      <c r="D120" s="186">
        <v>0</v>
      </c>
      <c r="E120" s="186">
        <v>1453100</v>
      </c>
      <c r="F120" s="186">
        <v>0</v>
      </c>
      <c r="G120" s="186">
        <v>14060500</v>
      </c>
      <c r="H120" s="186">
        <v>0</v>
      </c>
      <c r="I120" s="180">
        <f t="shared" si="3"/>
        <v>-1453100</v>
      </c>
    </row>
    <row r="121" spans="1:9">
      <c r="A121" s="102" t="s">
        <v>387</v>
      </c>
      <c r="B121" s="102" t="s">
        <v>388</v>
      </c>
      <c r="C121" s="186">
        <v>2878371.77</v>
      </c>
      <c r="D121" s="186">
        <v>0</v>
      </c>
      <c r="E121" s="186">
        <v>664972.6</v>
      </c>
      <c r="F121" s="186">
        <v>0</v>
      </c>
      <c r="G121" s="186">
        <v>3543344.37</v>
      </c>
      <c r="H121" s="186">
        <v>0</v>
      </c>
      <c r="I121" s="180">
        <f t="shared" si="3"/>
        <v>-664972.6</v>
      </c>
    </row>
    <row r="122" spans="1:9">
      <c r="A122" s="102" t="s">
        <v>629</v>
      </c>
      <c r="B122" s="102" t="s">
        <v>630</v>
      </c>
      <c r="C122" s="186">
        <v>397455</v>
      </c>
      <c r="D122" s="186">
        <v>0</v>
      </c>
      <c r="E122" s="186">
        <v>0</v>
      </c>
      <c r="F122" s="186">
        <v>0</v>
      </c>
      <c r="G122" s="186">
        <v>397455</v>
      </c>
      <c r="H122" s="186">
        <v>0</v>
      </c>
      <c r="I122" s="180">
        <f t="shared" si="3"/>
        <v>0</v>
      </c>
    </row>
    <row r="123" spans="1:9">
      <c r="A123" s="102" t="s">
        <v>389</v>
      </c>
      <c r="B123" s="102" t="s">
        <v>390</v>
      </c>
      <c r="C123" s="186">
        <v>25999.68</v>
      </c>
      <c r="D123" s="186">
        <v>0</v>
      </c>
      <c r="E123" s="186">
        <v>0</v>
      </c>
      <c r="F123" s="186">
        <v>0</v>
      </c>
      <c r="G123" s="186">
        <v>25999.68</v>
      </c>
      <c r="H123" s="186">
        <v>0</v>
      </c>
      <c r="I123" s="180">
        <f t="shared" si="3"/>
        <v>0</v>
      </c>
    </row>
    <row r="124" spans="1:9">
      <c r="A124" s="102" t="s">
        <v>391</v>
      </c>
      <c r="B124" s="102" t="s">
        <v>392</v>
      </c>
      <c r="C124" s="186">
        <v>17046000</v>
      </c>
      <c r="D124" s="186">
        <v>0</v>
      </c>
      <c r="E124" s="186">
        <v>1756000</v>
      </c>
      <c r="F124" s="186">
        <v>0</v>
      </c>
      <c r="G124" s="186">
        <v>18802000</v>
      </c>
      <c r="H124" s="186">
        <v>0</v>
      </c>
      <c r="I124" s="180">
        <f t="shared" si="3"/>
        <v>-1756000</v>
      </c>
    </row>
    <row r="125" spans="1:9">
      <c r="A125" s="102" t="s">
        <v>393</v>
      </c>
      <c r="B125" s="102" t="s">
        <v>394</v>
      </c>
      <c r="C125" s="186">
        <v>17199500</v>
      </c>
      <c r="D125" s="186">
        <v>0</v>
      </c>
      <c r="E125" s="186">
        <v>620000</v>
      </c>
      <c r="F125" s="186">
        <v>0</v>
      </c>
      <c r="G125" s="186">
        <v>17819500</v>
      </c>
      <c r="H125" s="186">
        <v>0</v>
      </c>
      <c r="I125" s="180">
        <f t="shared" si="3"/>
        <v>-620000</v>
      </c>
    </row>
    <row r="126" spans="1:9">
      <c r="A126" s="102" t="s">
        <v>395</v>
      </c>
      <c r="B126" s="102" t="s">
        <v>396</v>
      </c>
      <c r="C126" s="186">
        <v>9107099.7500000019</v>
      </c>
      <c r="D126" s="186">
        <v>0</v>
      </c>
      <c r="E126" s="186">
        <v>1788929.18</v>
      </c>
      <c r="F126" s="186">
        <v>0</v>
      </c>
      <c r="G126" s="186">
        <v>10896028.930000002</v>
      </c>
      <c r="H126" s="186">
        <v>0</v>
      </c>
      <c r="I126" s="180">
        <f t="shared" si="3"/>
        <v>-1788929.18</v>
      </c>
    </row>
    <row r="127" spans="1:9">
      <c r="A127" s="102" t="s">
        <v>397</v>
      </c>
      <c r="B127" s="102" t="s">
        <v>398</v>
      </c>
      <c r="C127" s="186">
        <v>5671000</v>
      </c>
      <c r="D127" s="186">
        <v>0</v>
      </c>
      <c r="E127" s="186">
        <v>1291000</v>
      </c>
      <c r="F127" s="186">
        <v>0</v>
      </c>
      <c r="G127" s="186">
        <v>6962000</v>
      </c>
      <c r="H127" s="186">
        <v>0</v>
      </c>
      <c r="I127" s="180">
        <f t="shared" si="3"/>
        <v>-1291000</v>
      </c>
    </row>
    <row r="128" spans="1:9">
      <c r="A128" s="102" t="s">
        <v>401</v>
      </c>
      <c r="B128" s="102" t="s">
        <v>402</v>
      </c>
      <c r="C128" s="186">
        <v>19219772.599999998</v>
      </c>
      <c r="D128" s="186">
        <v>0</v>
      </c>
      <c r="E128" s="186">
        <v>6419575.3399999999</v>
      </c>
      <c r="F128" s="186">
        <v>0</v>
      </c>
      <c r="G128" s="186">
        <v>25639347.940000001</v>
      </c>
      <c r="H128" s="186">
        <v>0</v>
      </c>
      <c r="I128" s="180">
        <f t="shared" si="3"/>
        <v>-6419575.3399999999</v>
      </c>
    </row>
    <row r="129" spans="1:9">
      <c r="A129" s="102" t="s">
        <v>403</v>
      </c>
      <c r="B129" s="102" t="s">
        <v>404</v>
      </c>
      <c r="C129" s="186">
        <v>735000</v>
      </c>
      <c r="D129" s="186">
        <v>0</v>
      </c>
      <c r="E129" s="186">
        <v>0</v>
      </c>
      <c r="F129" s="186">
        <v>0</v>
      </c>
      <c r="G129" s="186">
        <v>735000</v>
      </c>
      <c r="H129" s="186">
        <v>0</v>
      </c>
      <c r="I129" s="180">
        <f t="shared" si="3"/>
        <v>0</v>
      </c>
    </row>
    <row r="130" spans="1:9">
      <c r="A130" s="102" t="s">
        <v>405</v>
      </c>
      <c r="B130" s="102" t="s">
        <v>406</v>
      </c>
      <c r="C130" s="186">
        <v>8456730</v>
      </c>
      <c r="D130" s="186">
        <v>0</v>
      </c>
      <c r="E130" s="186">
        <v>2400000</v>
      </c>
      <c r="F130" s="186">
        <v>1122195</v>
      </c>
      <c r="G130" s="186">
        <v>9734535</v>
      </c>
      <c r="H130" s="186">
        <v>0</v>
      </c>
      <c r="I130" s="180">
        <f t="shared" si="3"/>
        <v>-1277805</v>
      </c>
    </row>
    <row r="131" spans="1:9">
      <c r="A131" s="102" t="s">
        <v>407</v>
      </c>
      <c r="B131" s="102" t="s">
        <v>408</v>
      </c>
      <c r="C131" s="186">
        <v>17928948</v>
      </c>
      <c r="D131" s="186">
        <v>0</v>
      </c>
      <c r="E131" s="186">
        <v>4179431</v>
      </c>
      <c r="F131" s="186">
        <v>122282</v>
      </c>
      <c r="G131" s="186">
        <v>21986097</v>
      </c>
      <c r="H131" s="186">
        <v>0</v>
      </c>
      <c r="I131" s="180">
        <f t="shared" si="3"/>
        <v>-4057149</v>
      </c>
    </row>
    <row r="132" spans="1:9">
      <c r="A132" s="102" t="s">
        <v>409</v>
      </c>
      <c r="B132" s="102" t="s">
        <v>410</v>
      </c>
      <c r="C132" s="186">
        <v>59580000</v>
      </c>
      <c r="D132" s="186">
        <v>0</v>
      </c>
      <c r="E132" s="186">
        <v>9850000</v>
      </c>
      <c r="F132" s="186">
        <v>4800000</v>
      </c>
      <c r="G132" s="186">
        <v>64630000</v>
      </c>
      <c r="H132" s="186">
        <v>0</v>
      </c>
      <c r="I132" s="180">
        <f t="shared" si="3"/>
        <v>-5050000</v>
      </c>
    </row>
    <row r="133" spans="1:9">
      <c r="A133" s="102" t="s">
        <v>650</v>
      </c>
      <c r="B133" s="102" t="s">
        <v>651</v>
      </c>
      <c r="C133" s="186">
        <v>4468960</v>
      </c>
      <c r="D133" s="186">
        <v>0</v>
      </c>
      <c r="E133" s="186">
        <v>0</v>
      </c>
      <c r="F133" s="186">
        <v>0</v>
      </c>
      <c r="G133" s="186">
        <v>4468960</v>
      </c>
      <c r="H133" s="186">
        <v>0</v>
      </c>
      <c r="I133" s="180">
        <f t="shared" si="3"/>
        <v>0</v>
      </c>
    </row>
    <row r="134" spans="1:9">
      <c r="A134" s="102" t="s">
        <v>415</v>
      </c>
      <c r="B134" s="102" t="s">
        <v>416</v>
      </c>
      <c r="C134" s="186">
        <v>3181096</v>
      </c>
      <c r="D134" s="186">
        <v>0</v>
      </c>
      <c r="E134" s="186">
        <v>0</v>
      </c>
      <c r="F134" s="186">
        <v>0</v>
      </c>
      <c r="G134" s="186">
        <v>3181096</v>
      </c>
      <c r="H134" s="186">
        <v>0</v>
      </c>
      <c r="I134" s="180">
        <f t="shared" si="3"/>
        <v>0</v>
      </c>
    </row>
    <row r="135" spans="1:9">
      <c r="A135" s="102" t="s">
        <v>417</v>
      </c>
      <c r="B135" s="102" t="s">
        <v>418</v>
      </c>
      <c r="C135" s="186">
        <v>8479788</v>
      </c>
      <c r="D135" s="186">
        <v>0</v>
      </c>
      <c r="E135" s="186">
        <v>57000</v>
      </c>
      <c r="F135" s="186">
        <v>0</v>
      </c>
      <c r="G135" s="186">
        <v>8536788</v>
      </c>
      <c r="H135" s="186">
        <v>0</v>
      </c>
      <c r="I135" s="180">
        <f t="shared" si="3"/>
        <v>-57000</v>
      </c>
    </row>
    <row r="136" spans="1:9">
      <c r="A136" s="102" t="s">
        <v>419</v>
      </c>
      <c r="B136" s="102" t="s">
        <v>420</v>
      </c>
      <c r="C136" s="186">
        <v>38646941.079999998</v>
      </c>
      <c r="D136" s="186">
        <v>0</v>
      </c>
      <c r="E136" s="186">
        <v>7292158.8799999999</v>
      </c>
      <c r="F136" s="186">
        <v>0</v>
      </c>
      <c r="G136" s="186">
        <v>45939099.960000001</v>
      </c>
      <c r="H136" s="186">
        <v>0</v>
      </c>
      <c r="I136" s="180">
        <f t="shared" si="3"/>
        <v>-7292158.8799999999</v>
      </c>
    </row>
    <row r="137" spans="1:9">
      <c r="A137" s="102" t="s">
        <v>421</v>
      </c>
      <c r="B137" s="102" t="s">
        <v>422</v>
      </c>
      <c r="C137" s="186">
        <v>0</v>
      </c>
      <c r="D137" s="186">
        <v>0</v>
      </c>
      <c r="E137" s="186">
        <v>3875000</v>
      </c>
      <c r="F137" s="186">
        <v>0</v>
      </c>
      <c r="G137" s="186">
        <v>3875000</v>
      </c>
      <c r="H137" s="186">
        <v>0</v>
      </c>
      <c r="I137" s="180">
        <f t="shared" si="3"/>
        <v>-3875000</v>
      </c>
    </row>
    <row r="138" spans="1:9">
      <c r="A138" s="102" t="s">
        <v>423</v>
      </c>
      <c r="B138" s="102" t="s">
        <v>424</v>
      </c>
      <c r="C138" s="186">
        <v>2600000</v>
      </c>
      <c r="D138" s="186">
        <v>0</v>
      </c>
      <c r="E138" s="186">
        <v>120000</v>
      </c>
      <c r="F138" s="186">
        <v>0</v>
      </c>
      <c r="G138" s="186">
        <v>2720000</v>
      </c>
      <c r="H138" s="186">
        <v>0</v>
      </c>
      <c r="I138" s="180">
        <f t="shared" si="3"/>
        <v>-120000</v>
      </c>
    </row>
    <row r="139" spans="1:9">
      <c r="A139" s="102" t="s">
        <v>425</v>
      </c>
      <c r="B139" s="102" t="s">
        <v>426</v>
      </c>
      <c r="C139" s="186">
        <v>5595000</v>
      </c>
      <c r="D139" s="186">
        <v>0</v>
      </c>
      <c r="E139" s="186">
        <v>0</v>
      </c>
      <c r="F139" s="186">
        <v>0</v>
      </c>
      <c r="G139" s="186">
        <v>5595000</v>
      </c>
      <c r="H139" s="186">
        <v>0</v>
      </c>
      <c r="I139" s="180">
        <f t="shared" si="3"/>
        <v>0</v>
      </c>
    </row>
    <row r="140" spans="1:9">
      <c r="A140" s="102" t="s">
        <v>427</v>
      </c>
      <c r="B140" s="102" t="s">
        <v>428</v>
      </c>
      <c r="C140" s="186">
        <v>2250000</v>
      </c>
      <c r="D140" s="186">
        <v>0</v>
      </c>
      <c r="E140" s="186">
        <v>4950000</v>
      </c>
      <c r="F140" s="186">
        <v>0</v>
      </c>
      <c r="G140" s="186">
        <v>7200000</v>
      </c>
      <c r="H140" s="186">
        <v>0</v>
      </c>
      <c r="I140" s="180">
        <f t="shared" si="3"/>
        <v>-4950000</v>
      </c>
    </row>
    <row r="141" spans="1:9">
      <c r="A141" s="102" t="s">
        <v>429</v>
      </c>
      <c r="B141" s="102" t="s">
        <v>430</v>
      </c>
      <c r="C141" s="186">
        <v>20311400</v>
      </c>
      <c r="D141" s="186">
        <v>0</v>
      </c>
      <c r="E141" s="186">
        <v>7250000</v>
      </c>
      <c r="F141" s="186">
        <v>0</v>
      </c>
      <c r="G141" s="186">
        <v>27561400</v>
      </c>
      <c r="H141" s="186">
        <v>0</v>
      </c>
      <c r="I141" s="180">
        <f t="shared" si="3"/>
        <v>-7250000</v>
      </c>
    </row>
    <row r="142" spans="1:9">
      <c r="A142" s="102" t="s">
        <v>431</v>
      </c>
      <c r="B142" s="102" t="s">
        <v>432</v>
      </c>
      <c r="C142" s="186">
        <v>76731571.800000012</v>
      </c>
      <c r="D142" s="186">
        <v>0</v>
      </c>
      <c r="E142" s="186">
        <v>14480228.869999999</v>
      </c>
      <c r="F142" s="186">
        <v>0</v>
      </c>
      <c r="G142" s="186">
        <v>91211800.670000002</v>
      </c>
      <c r="H142" s="186">
        <v>0</v>
      </c>
      <c r="I142" s="180">
        <f t="shared" si="3"/>
        <v>-14480228.869999999</v>
      </c>
    </row>
    <row r="143" spans="1:9">
      <c r="A143" s="102" t="s">
        <v>433</v>
      </c>
      <c r="B143" s="102" t="s">
        <v>434</v>
      </c>
      <c r="C143" s="186">
        <v>975000</v>
      </c>
      <c r="D143" s="186">
        <v>0</v>
      </c>
      <c r="E143" s="186">
        <v>998000</v>
      </c>
      <c r="F143" s="186">
        <v>0</v>
      </c>
      <c r="G143" s="186">
        <v>1973000</v>
      </c>
      <c r="H143" s="186">
        <v>0</v>
      </c>
      <c r="I143" s="180">
        <f t="shared" si="3"/>
        <v>-998000</v>
      </c>
    </row>
    <row r="144" spans="1:9">
      <c r="A144" s="102" t="s">
        <v>435</v>
      </c>
      <c r="B144" s="102" t="s">
        <v>436</v>
      </c>
      <c r="C144" s="186">
        <v>2952194.07</v>
      </c>
      <c r="D144" s="186">
        <v>0</v>
      </c>
      <c r="E144" s="186">
        <v>942431.54</v>
      </c>
      <c r="F144" s="186">
        <v>0</v>
      </c>
      <c r="G144" s="186">
        <v>3894625.61</v>
      </c>
      <c r="H144" s="186">
        <v>0</v>
      </c>
      <c r="I144" s="180">
        <f t="shared" si="3"/>
        <v>-942431.54</v>
      </c>
    </row>
    <row r="145" spans="1:18">
      <c r="A145" s="102" t="s">
        <v>437</v>
      </c>
      <c r="B145" s="102" t="s">
        <v>438</v>
      </c>
      <c r="C145" s="186">
        <v>52026309.789999984</v>
      </c>
      <c r="D145" s="186">
        <v>0</v>
      </c>
      <c r="E145" s="186">
        <v>10337898.189999999</v>
      </c>
      <c r="F145" s="186">
        <v>0</v>
      </c>
      <c r="G145" s="186">
        <v>62364207.979999982</v>
      </c>
      <c r="H145" s="186">
        <v>0</v>
      </c>
      <c r="I145" s="180">
        <f t="shared" si="3"/>
        <v>-10337898.189999999</v>
      </c>
    </row>
    <row r="146" spans="1:18">
      <c r="A146" s="102" t="s">
        <v>439</v>
      </c>
      <c r="B146" s="102" t="s">
        <v>440</v>
      </c>
      <c r="C146" s="186">
        <v>64120232.590000018</v>
      </c>
      <c r="D146" s="186">
        <v>0</v>
      </c>
      <c r="E146" s="186">
        <v>12749914.560000001</v>
      </c>
      <c r="F146" s="186">
        <v>0</v>
      </c>
      <c r="G146" s="186">
        <v>76870147.150000021</v>
      </c>
      <c r="H146" s="186">
        <v>0</v>
      </c>
      <c r="I146" s="180">
        <f t="shared" si="3"/>
        <v>-12749914.560000001</v>
      </c>
    </row>
    <row r="147" spans="1:18">
      <c r="A147" s="102" t="s">
        <v>441</v>
      </c>
      <c r="B147" s="102" t="s">
        <v>442</v>
      </c>
      <c r="C147" s="186">
        <v>26635807.700000003</v>
      </c>
      <c r="D147" s="186">
        <v>0</v>
      </c>
      <c r="E147" s="186">
        <v>5371098.2699999996</v>
      </c>
      <c r="F147" s="186">
        <v>0</v>
      </c>
      <c r="G147" s="186">
        <v>32006905.970000006</v>
      </c>
      <c r="H147" s="186">
        <v>0</v>
      </c>
      <c r="I147" s="180">
        <f t="shared" si="3"/>
        <v>-5371098.2699999996</v>
      </c>
    </row>
    <row r="148" spans="1:18">
      <c r="A148" s="102" t="s">
        <v>443</v>
      </c>
      <c r="B148" s="102" t="s">
        <v>444</v>
      </c>
      <c r="C148" s="186">
        <v>5602073.9899999984</v>
      </c>
      <c r="D148" s="186">
        <v>0</v>
      </c>
      <c r="E148" s="186">
        <v>1160127.6599999999</v>
      </c>
      <c r="F148" s="186">
        <v>0</v>
      </c>
      <c r="G148" s="186">
        <v>6762201.6499999985</v>
      </c>
      <c r="H148" s="186">
        <v>0</v>
      </c>
      <c r="I148" s="180">
        <f t="shared" ref="I148:I159" si="4">+F148-E148</f>
        <v>-1160127.6599999999</v>
      </c>
    </row>
    <row r="149" spans="1:18">
      <c r="A149" s="102" t="s">
        <v>445</v>
      </c>
      <c r="B149" s="102" t="s">
        <v>446</v>
      </c>
      <c r="C149" s="186">
        <v>15752775.77</v>
      </c>
      <c r="D149" s="186">
        <v>0</v>
      </c>
      <c r="E149" s="186">
        <v>3129690.55</v>
      </c>
      <c r="F149" s="186">
        <v>0</v>
      </c>
      <c r="G149" s="186">
        <v>18882466.32</v>
      </c>
      <c r="H149" s="186">
        <v>0</v>
      </c>
      <c r="I149" s="180">
        <f t="shared" si="4"/>
        <v>-3129690.55</v>
      </c>
    </row>
    <row r="150" spans="1:18">
      <c r="A150" s="102" t="s">
        <v>447</v>
      </c>
      <c r="B150" s="102" t="s">
        <v>448</v>
      </c>
      <c r="C150" s="186">
        <v>25651644.470000006</v>
      </c>
      <c r="D150" s="186">
        <v>0</v>
      </c>
      <c r="E150" s="186">
        <v>4943231.9300000006</v>
      </c>
      <c r="F150" s="186">
        <v>0</v>
      </c>
      <c r="G150" s="186">
        <v>30594876.400000006</v>
      </c>
      <c r="H150" s="186">
        <v>0</v>
      </c>
      <c r="I150" s="180">
        <f t="shared" si="4"/>
        <v>-4943231.9300000006</v>
      </c>
    </row>
    <row r="151" spans="1:18">
      <c r="A151" s="102" t="s">
        <v>449</v>
      </c>
      <c r="B151" s="102" t="s">
        <v>450</v>
      </c>
      <c r="C151" s="186">
        <v>211829366.22</v>
      </c>
      <c r="D151" s="186">
        <v>0</v>
      </c>
      <c r="E151" s="186">
        <v>120995945</v>
      </c>
      <c r="F151" s="186">
        <v>9997056</v>
      </c>
      <c r="G151" s="186">
        <v>322828255.22000003</v>
      </c>
      <c r="H151" s="186">
        <v>0</v>
      </c>
      <c r="I151" s="180">
        <f t="shared" si="4"/>
        <v>-110998889</v>
      </c>
    </row>
    <row r="152" spans="1:18">
      <c r="A152" s="102" t="s">
        <v>451</v>
      </c>
      <c r="B152" s="102" t="s">
        <v>452</v>
      </c>
      <c r="C152" s="186">
        <v>0</v>
      </c>
      <c r="D152" s="186">
        <v>3306247689.6099992</v>
      </c>
      <c r="E152" s="186">
        <v>80684932</v>
      </c>
      <c r="F152" s="186">
        <v>832770478.03999996</v>
      </c>
      <c r="G152" s="186">
        <v>0</v>
      </c>
      <c r="H152" s="186">
        <v>4058333235.6499996</v>
      </c>
      <c r="I152" s="180">
        <f t="shared" si="4"/>
        <v>752085546.03999996</v>
      </c>
    </row>
    <row r="153" spans="1:18">
      <c r="A153" s="102" t="s">
        <v>455</v>
      </c>
      <c r="B153" s="102" t="s">
        <v>456</v>
      </c>
      <c r="C153" s="186">
        <v>0</v>
      </c>
      <c r="D153" s="186">
        <v>0</v>
      </c>
      <c r="E153" s="186">
        <v>0</v>
      </c>
      <c r="F153" s="186">
        <v>0</v>
      </c>
      <c r="G153" s="186">
        <v>0</v>
      </c>
      <c r="H153" s="186">
        <v>0</v>
      </c>
      <c r="I153" s="180">
        <f t="shared" si="4"/>
        <v>0</v>
      </c>
    </row>
    <row r="154" spans="1:18">
      <c r="A154" s="102" t="s">
        <v>457</v>
      </c>
      <c r="B154" s="102" t="s">
        <v>458</v>
      </c>
      <c r="C154" s="186">
        <v>7860081.6899999976</v>
      </c>
      <c r="D154" s="186">
        <v>0</v>
      </c>
      <c r="E154" s="186">
        <v>32840178.239999998</v>
      </c>
      <c r="F154" s="186">
        <v>27401751.039999999</v>
      </c>
      <c r="G154" s="186">
        <v>13298508.890000001</v>
      </c>
      <c r="H154" s="186">
        <v>0</v>
      </c>
      <c r="I154" s="180">
        <f t="shared" si="4"/>
        <v>-5438427.1999999993</v>
      </c>
    </row>
    <row r="155" spans="1:18">
      <c r="A155" s="102" t="s">
        <v>459</v>
      </c>
      <c r="B155" s="102" t="s">
        <v>460</v>
      </c>
      <c r="C155" s="186">
        <v>0</v>
      </c>
      <c r="D155" s="186">
        <v>58620572</v>
      </c>
      <c r="E155" s="186">
        <v>0</v>
      </c>
      <c r="F155" s="186">
        <v>0</v>
      </c>
      <c r="G155" s="186">
        <v>0</v>
      </c>
      <c r="H155" s="186">
        <v>58620572</v>
      </c>
      <c r="I155" s="180">
        <f t="shared" si="4"/>
        <v>0</v>
      </c>
    </row>
    <row r="156" spans="1:18">
      <c r="A156" s="102" t="s">
        <v>461</v>
      </c>
      <c r="B156" s="102" t="s">
        <v>462</v>
      </c>
      <c r="C156" s="186">
        <v>18176871.100000001</v>
      </c>
      <c r="D156" s="186">
        <v>0</v>
      </c>
      <c r="E156" s="186">
        <v>6415094.6299999999</v>
      </c>
      <c r="F156" s="186">
        <v>14810094.779999999</v>
      </c>
      <c r="G156" s="186">
        <v>9781870.9499999993</v>
      </c>
      <c r="H156" s="186">
        <v>0</v>
      </c>
      <c r="I156" s="180">
        <f t="shared" si="4"/>
        <v>8395000.1499999985</v>
      </c>
    </row>
    <row r="157" spans="1:18">
      <c r="A157" s="102" t="s">
        <v>463</v>
      </c>
      <c r="B157" s="102" t="s">
        <v>464</v>
      </c>
      <c r="C157" s="186">
        <v>0</v>
      </c>
      <c r="D157" s="186">
        <v>692211559</v>
      </c>
      <c r="E157" s="186">
        <v>0</v>
      </c>
      <c r="F157" s="186">
        <v>80224338</v>
      </c>
      <c r="G157" s="186">
        <v>0</v>
      </c>
      <c r="H157" s="186">
        <v>772435897</v>
      </c>
      <c r="I157" s="180">
        <f t="shared" si="4"/>
        <v>80224338</v>
      </c>
    </row>
    <row r="158" spans="1:18">
      <c r="A158" s="102" t="s">
        <v>465</v>
      </c>
      <c r="B158" s="102" t="s">
        <v>466</v>
      </c>
      <c r="C158" s="186">
        <v>0</v>
      </c>
      <c r="D158" s="186">
        <v>84628968</v>
      </c>
      <c r="E158" s="186">
        <v>0</v>
      </c>
      <c r="F158" s="186">
        <v>0</v>
      </c>
      <c r="G158" s="186">
        <v>0</v>
      </c>
      <c r="H158" s="186">
        <v>84628968</v>
      </c>
      <c r="I158" s="180">
        <f t="shared" si="4"/>
        <v>0</v>
      </c>
    </row>
    <row r="159" spans="1:18">
      <c r="A159" s="102" t="s">
        <v>469</v>
      </c>
      <c r="B159" s="102" t="s">
        <v>470</v>
      </c>
      <c r="C159" s="186">
        <v>0</v>
      </c>
      <c r="D159" s="186">
        <v>2001.2</v>
      </c>
      <c r="E159" s="186">
        <v>30</v>
      </c>
      <c r="F159" s="186">
        <v>0.22</v>
      </c>
      <c r="G159" s="186">
        <v>0</v>
      </c>
      <c r="H159" s="186">
        <v>1971.42</v>
      </c>
      <c r="I159" s="180">
        <f t="shared" si="4"/>
        <v>-29.78</v>
      </c>
    </row>
    <row r="160" spans="1:18" s="300" customFormat="1">
      <c r="A160" s="447" t="s">
        <v>471</v>
      </c>
      <c r="B160" s="447"/>
      <c r="C160" s="298">
        <f>SUM(C83:C159)</f>
        <v>3280610843.5499997</v>
      </c>
      <c r="D160" s="298">
        <f t="shared" ref="D160:H160" si="5">SUM(D83:D159)</f>
        <v>4141710789.809999</v>
      </c>
      <c r="E160" s="298">
        <f t="shared" si="5"/>
        <v>823922918.46999979</v>
      </c>
      <c r="F160" s="298">
        <f t="shared" si="5"/>
        <v>985112416.07999992</v>
      </c>
      <c r="G160" s="298">
        <f t="shared" si="5"/>
        <v>3951731200.1999993</v>
      </c>
      <c r="H160" s="298">
        <f t="shared" si="5"/>
        <v>4974020644.0699997</v>
      </c>
      <c r="I160" s="301">
        <f>SUM(I83:I159)</f>
        <v>161189497.61000016</v>
      </c>
      <c r="J160" s="298">
        <v>0</v>
      </c>
      <c r="K160" s="298">
        <v>-3.9062500000000001E-5</v>
      </c>
      <c r="L160" s="299" t="s">
        <v>265</v>
      </c>
      <c r="M160" s="299" t="s">
        <v>266</v>
      </c>
      <c r="N160" s="299" t="s">
        <v>267</v>
      </c>
      <c r="O160" s="299" t="s">
        <v>268</v>
      </c>
      <c r="P160" s="299" t="s">
        <v>269</v>
      </c>
      <c r="Q160" s="299" t="s">
        <v>270</v>
      </c>
      <c r="R160" s="299" t="s">
        <v>271</v>
      </c>
    </row>
    <row r="161" spans="1:8">
      <c r="A161" s="112"/>
      <c r="B161" s="103" t="s">
        <v>652</v>
      </c>
      <c r="D161" s="113">
        <f>+D160-C160</f>
        <v>861099946.25999928</v>
      </c>
      <c r="F161" s="238">
        <f>+F160-E160</f>
        <v>161189497.61000013</v>
      </c>
      <c r="H161" s="238">
        <f>+H160-G160</f>
        <v>1022289443.8700004</v>
      </c>
    </row>
    <row r="162" spans="1:8">
      <c r="D162" s="103" t="s">
        <v>655</v>
      </c>
      <c r="F162" s="103" t="s">
        <v>653</v>
      </c>
      <c r="H162" s="103" t="s">
        <v>654</v>
      </c>
    </row>
  </sheetData>
  <mergeCells count="2">
    <mergeCell ref="A78:B78"/>
    <mergeCell ref="A160:B160"/>
  </mergeCells>
  <pageMargins left="0.70866141732283472" right="0.70866141732283472" top="0.74803149606299213" bottom="0.74803149606299213" header="0.31496062992125984" footer="0.31496062992125984"/>
  <pageSetup paperSize="9" scale="75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1"/>
  <sheetViews>
    <sheetView workbookViewId="0">
      <selection activeCell="C33" sqref="C32:C33"/>
    </sheetView>
  </sheetViews>
  <sheetFormatPr defaultRowHeight="15.75"/>
  <cols>
    <col min="1" max="1" width="9" style="103"/>
    <col min="2" max="2" width="23.375" style="103" customWidth="1"/>
    <col min="3" max="3" width="65.25" style="103" customWidth="1"/>
    <col min="4" max="4" width="19.625" style="103" customWidth="1"/>
    <col min="5" max="5" width="19.87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113</v>
      </c>
      <c r="E3" s="102" t="s">
        <v>114</v>
      </c>
    </row>
    <row r="4" spans="1:5">
      <c r="A4" s="102" t="s">
        <v>115</v>
      </c>
      <c r="B4" s="102" t="s">
        <v>62</v>
      </c>
      <c r="C4" s="102" t="s">
        <v>116</v>
      </c>
      <c r="D4" s="102" t="s">
        <v>58</v>
      </c>
      <c r="E4" s="102" t="s">
        <v>59</v>
      </c>
    </row>
    <row r="5" spans="1:5">
      <c r="A5" s="104">
        <v>1</v>
      </c>
      <c r="B5" s="102" t="s">
        <v>117</v>
      </c>
      <c r="D5" s="105">
        <v>4468000</v>
      </c>
      <c r="E5" s="105">
        <v>10000000</v>
      </c>
    </row>
    <row r="6" spans="1:5">
      <c r="A6" s="104">
        <v>1</v>
      </c>
      <c r="B6" s="102" t="s">
        <v>118</v>
      </c>
      <c r="C6" s="102" t="s">
        <v>119</v>
      </c>
      <c r="D6" s="106">
        <v>4468000</v>
      </c>
      <c r="E6" s="106">
        <v>10000000</v>
      </c>
    </row>
    <row r="7" spans="1:5">
      <c r="A7" s="104">
        <v>2</v>
      </c>
      <c r="B7" s="102" t="s">
        <v>120</v>
      </c>
      <c r="D7" s="105">
        <v>156814829312.28003</v>
      </c>
      <c r="E7" s="105">
        <v>136629368894.74001</v>
      </c>
    </row>
    <row r="8" spans="1:5" s="111" customFormat="1">
      <c r="A8" s="107">
        <v>2</v>
      </c>
      <c r="B8" s="108" t="s">
        <v>121</v>
      </c>
      <c r="C8" s="108" t="s">
        <v>122</v>
      </c>
      <c r="D8" s="109">
        <v>55650947823</v>
      </c>
      <c r="E8" s="110">
        <v>39741098167</v>
      </c>
    </row>
    <row r="9" spans="1:5">
      <c r="A9" s="104">
        <v>3</v>
      </c>
      <c r="B9" s="102" t="s">
        <v>123</v>
      </c>
      <c r="C9" s="102" t="s">
        <v>124</v>
      </c>
      <c r="D9" s="106">
        <v>100000</v>
      </c>
      <c r="E9" s="106">
        <v>100000</v>
      </c>
    </row>
    <row r="10" spans="1:5">
      <c r="A10" s="104">
        <v>4</v>
      </c>
      <c r="B10" s="102" t="s">
        <v>125</v>
      </c>
      <c r="C10" s="102" t="s">
        <v>126</v>
      </c>
      <c r="D10" s="106">
        <v>25000000000</v>
      </c>
      <c r="E10" s="106">
        <v>0</v>
      </c>
    </row>
    <row r="11" spans="1:5">
      <c r="A11" s="104"/>
      <c r="B11" s="102" t="s">
        <v>127</v>
      </c>
      <c r="C11" s="102" t="s">
        <v>128</v>
      </c>
      <c r="D11" s="106">
        <v>137607.24000000954</v>
      </c>
      <c r="E11" s="106">
        <v>652607.74</v>
      </c>
    </row>
    <row r="12" spans="1:5">
      <c r="A12" s="104">
        <v>6</v>
      </c>
      <c r="B12" s="102" t="s">
        <v>129</v>
      </c>
      <c r="C12" s="102" t="s">
        <v>130</v>
      </c>
      <c r="D12" s="106">
        <v>5000000000</v>
      </c>
      <c r="E12" s="106">
        <v>0</v>
      </c>
    </row>
    <row r="13" spans="1:5">
      <c r="A13" s="104">
        <v>7</v>
      </c>
      <c r="B13" s="102" t="s">
        <v>131</v>
      </c>
      <c r="C13" s="102" t="s">
        <v>132</v>
      </c>
      <c r="D13" s="106">
        <v>294629790</v>
      </c>
      <c r="E13" s="106">
        <v>92595445</v>
      </c>
    </row>
    <row r="14" spans="1:5">
      <c r="A14" s="104">
        <v>8</v>
      </c>
      <c r="B14" s="102" t="s">
        <v>133</v>
      </c>
      <c r="C14" s="102" t="s">
        <v>134</v>
      </c>
      <c r="D14" s="106">
        <v>35000000000</v>
      </c>
      <c r="E14" s="106">
        <v>0</v>
      </c>
    </row>
    <row r="15" spans="1:5">
      <c r="A15" s="104">
        <v>9</v>
      </c>
      <c r="B15" s="102" t="s">
        <v>135</v>
      </c>
      <c r="C15" s="102" t="s">
        <v>136</v>
      </c>
      <c r="D15" s="106">
        <v>1788525.38</v>
      </c>
      <c r="E15" s="106">
        <v>713249.55</v>
      </c>
    </row>
    <row r="16" spans="1:5">
      <c r="A16" s="104">
        <v>10</v>
      </c>
      <c r="B16" s="102" t="s">
        <v>137</v>
      </c>
      <c r="C16" s="102" t="s">
        <v>138</v>
      </c>
      <c r="D16" s="106">
        <v>3469166998</v>
      </c>
      <c r="E16" s="106">
        <v>1358879432</v>
      </c>
    </row>
    <row r="17" spans="1:5">
      <c r="A17" s="104">
        <v>11</v>
      </c>
      <c r="B17" s="102" t="s">
        <v>139</v>
      </c>
      <c r="C17" s="102" t="s">
        <v>140</v>
      </c>
      <c r="D17" s="106">
        <v>30012667.200004578</v>
      </c>
      <c r="E17" s="106">
        <v>890273394.24000001</v>
      </c>
    </row>
    <row r="18" spans="1:5">
      <c r="A18" s="104">
        <v>12</v>
      </c>
      <c r="B18" s="102" t="s">
        <v>141</v>
      </c>
      <c r="C18" s="102" t="s">
        <v>142</v>
      </c>
      <c r="D18" s="106">
        <v>2281603544.3500061</v>
      </c>
      <c r="E18" s="106">
        <v>72281613544.350006</v>
      </c>
    </row>
    <row r="19" spans="1:5">
      <c r="A19" s="104">
        <v>13</v>
      </c>
      <c r="B19" s="102" t="s">
        <v>143</v>
      </c>
      <c r="C19" s="102" t="s">
        <v>144</v>
      </c>
      <c r="D19" s="106">
        <v>1594317.1200000048</v>
      </c>
      <c r="E19" s="106">
        <v>1641620.4</v>
      </c>
    </row>
    <row r="20" spans="1:5">
      <c r="A20" s="104">
        <v>14</v>
      </c>
      <c r="B20" s="102" t="s">
        <v>145</v>
      </c>
      <c r="C20" s="102" t="s">
        <v>146</v>
      </c>
      <c r="D20" s="106">
        <v>1000000</v>
      </c>
      <c r="E20" s="106">
        <v>0</v>
      </c>
    </row>
    <row r="21" spans="1:5">
      <c r="A21" s="104">
        <v>15</v>
      </c>
      <c r="B21" s="102" t="s">
        <v>147</v>
      </c>
      <c r="C21" s="102" t="s">
        <v>148</v>
      </c>
      <c r="D21" s="106">
        <v>20000000000</v>
      </c>
      <c r="E21" s="106">
        <v>20000000000</v>
      </c>
    </row>
    <row r="22" spans="1:5">
      <c r="A22" s="104">
        <v>16</v>
      </c>
      <c r="B22" s="102" t="s">
        <v>149</v>
      </c>
      <c r="C22" s="102" t="s">
        <v>150</v>
      </c>
      <c r="D22" s="106">
        <v>9249349530.2200165</v>
      </c>
      <c r="E22" s="106">
        <v>2261801434.46</v>
      </c>
    </row>
    <row r="23" spans="1:5">
      <c r="A23" s="104">
        <v>17</v>
      </c>
      <c r="B23" s="102" t="s">
        <v>151</v>
      </c>
      <c r="C23" s="102" t="s">
        <v>152</v>
      </c>
      <c r="D23" s="106">
        <v>834498509.7700119</v>
      </c>
      <c r="E23" s="106">
        <v>0</v>
      </c>
    </row>
    <row r="24" spans="1:5">
      <c r="A24" s="104">
        <v>3</v>
      </c>
      <c r="B24" s="102" t="s">
        <v>153</v>
      </c>
      <c r="D24" s="105">
        <v>514920200.00999987</v>
      </c>
      <c r="E24" s="105">
        <v>79930000</v>
      </c>
    </row>
    <row r="25" spans="1:5">
      <c r="A25" s="104">
        <v>18</v>
      </c>
      <c r="B25" s="102" t="s">
        <v>154</v>
      </c>
      <c r="C25" s="102" t="s">
        <v>155</v>
      </c>
      <c r="D25" s="106">
        <v>474219940.07999992</v>
      </c>
      <c r="E25" s="106">
        <v>117180970</v>
      </c>
    </row>
    <row r="26" spans="1:5">
      <c r="A26" s="104">
        <v>19</v>
      </c>
      <c r="B26" s="102" t="s">
        <v>156</v>
      </c>
      <c r="C26" s="102" t="s">
        <v>157</v>
      </c>
      <c r="D26" s="106">
        <v>40700259.929999948</v>
      </c>
      <c r="E26" s="106">
        <v>-37250970</v>
      </c>
    </row>
    <row r="27" spans="1:5">
      <c r="A27" s="104">
        <v>4</v>
      </c>
      <c r="B27" s="102" t="s">
        <v>158</v>
      </c>
      <c r="D27" s="105">
        <v>58820889</v>
      </c>
      <c r="E27" s="105">
        <v>4284683</v>
      </c>
    </row>
    <row r="28" spans="1:5">
      <c r="A28" s="104">
        <v>20</v>
      </c>
      <c r="B28" s="102" t="s">
        <v>159</v>
      </c>
      <c r="C28" s="102" t="s">
        <v>160</v>
      </c>
      <c r="D28" s="106">
        <v>58820889</v>
      </c>
      <c r="E28" s="106">
        <v>4284683</v>
      </c>
    </row>
    <row r="29" spans="1:5">
      <c r="A29" s="104">
        <v>5</v>
      </c>
      <c r="B29" s="102" t="s">
        <v>161</v>
      </c>
      <c r="C29" s="106">
        <v>0</v>
      </c>
      <c r="D29" s="106">
        <v>23823233</v>
      </c>
    </row>
    <row r="30" spans="1:5">
      <c r="A30" s="104">
        <v>21</v>
      </c>
      <c r="B30" s="102" t="s">
        <v>162</v>
      </c>
      <c r="C30" s="102" t="s">
        <v>163</v>
      </c>
      <c r="D30" s="106">
        <v>0</v>
      </c>
      <c r="E30" s="106">
        <v>23823233</v>
      </c>
    </row>
    <row r="31" spans="1:5">
      <c r="A31" s="104">
        <v>6</v>
      </c>
      <c r="B31" s="102" t="s">
        <v>164</v>
      </c>
      <c r="D31" s="105">
        <v>6468582.9999999925</v>
      </c>
      <c r="E31" s="105">
        <v>152643900.47999999</v>
      </c>
    </row>
    <row r="32" spans="1:5">
      <c r="A32" s="104">
        <v>22</v>
      </c>
      <c r="B32" s="102" t="s">
        <v>165</v>
      </c>
      <c r="C32" s="102" t="s">
        <v>166</v>
      </c>
      <c r="D32" s="106">
        <v>5968583</v>
      </c>
      <c r="E32" s="106">
        <v>61100181</v>
      </c>
    </row>
    <row r="33" spans="1:5">
      <c r="A33" s="104">
        <v>23</v>
      </c>
      <c r="B33" s="102" t="s">
        <v>167</v>
      </c>
      <c r="C33" s="102" t="s">
        <v>168</v>
      </c>
      <c r="D33" s="106">
        <v>-7.4505805969238281E-9</v>
      </c>
      <c r="E33" s="106">
        <v>27382363.629999999</v>
      </c>
    </row>
    <row r="34" spans="1:5">
      <c r="A34" s="104">
        <v>24</v>
      </c>
      <c r="B34" s="102" t="s">
        <v>169</v>
      </c>
      <c r="C34" s="102" t="s">
        <v>170</v>
      </c>
      <c r="D34" s="106">
        <v>500000</v>
      </c>
      <c r="E34" s="106">
        <v>36400000</v>
      </c>
    </row>
    <row r="35" spans="1:5">
      <c r="A35" s="104">
        <v>25</v>
      </c>
      <c r="B35" s="102" t="s">
        <v>171</v>
      </c>
      <c r="C35" s="102" t="s">
        <v>172</v>
      </c>
      <c r="D35" s="106">
        <v>0</v>
      </c>
      <c r="E35" s="106">
        <v>27761355.850000001</v>
      </c>
    </row>
    <row r="36" spans="1:5">
      <c r="A36" s="104">
        <v>7</v>
      </c>
      <c r="B36" s="102" t="s">
        <v>173</v>
      </c>
      <c r="D36" s="105">
        <v>307778050.00999999</v>
      </c>
      <c r="E36" s="105">
        <v>270213970.00999999</v>
      </c>
    </row>
    <row r="37" spans="1:5">
      <c r="A37" s="104">
        <v>26</v>
      </c>
      <c r="B37" s="102" t="s">
        <v>174</v>
      </c>
      <c r="C37" s="102" t="s">
        <v>175</v>
      </c>
      <c r="D37" s="106">
        <v>307778050.00999999</v>
      </c>
      <c r="E37" s="106">
        <v>270213970.00999999</v>
      </c>
    </row>
    <row r="38" spans="1:5">
      <c r="A38" s="104">
        <v>8</v>
      </c>
      <c r="B38" s="102" t="s">
        <v>176</v>
      </c>
      <c r="D38" s="105">
        <v>3346086930.8699999</v>
      </c>
      <c r="E38" s="105">
        <v>3199589695.8699999</v>
      </c>
    </row>
    <row r="39" spans="1:5">
      <c r="A39" s="104">
        <v>27</v>
      </c>
      <c r="B39" s="102" t="s">
        <v>177</v>
      </c>
      <c r="C39" s="102" t="s">
        <v>178</v>
      </c>
      <c r="D39" s="106">
        <v>1547672051.8699999</v>
      </c>
      <c r="E39" s="106">
        <v>1539482051.8699999</v>
      </c>
    </row>
    <row r="40" spans="1:5">
      <c r="A40" s="104">
        <v>28</v>
      </c>
      <c r="B40" s="102" t="s">
        <v>179</v>
      </c>
      <c r="C40" s="102" t="s">
        <v>180</v>
      </c>
      <c r="D40" s="106">
        <v>629368000</v>
      </c>
      <c r="E40" s="106">
        <v>615368000</v>
      </c>
    </row>
    <row r="41" spans="1:5">
      <c r="A41" s="104">
        <v>29</v>
      </c>
      <c r="B41" s="102" t="s">
        <v>181</v>
      </c>
      <c r="C41" s="102" t="s">
        <v>182</v>
      </c>
      <c r="D41" s="106">
        <v>138215192.81999999</v>
      </c>
      <c r="E41" s="106">
        <v>96539607.819999993</v>
      </c>
    </row>
    <row r="42" spans="1:5">
      <c r="A42" s="104">
        <v>30</v>
      </c>
      <c r="B42" s="102" t="s">
        <v>183</v>
      </c>
      <c r="C42" s="102" t="s">
        <v>184</v>
      </c>
      <c r="D42" s="106">
        <v>649742024.07000005</v>
      </c>
      <c r="E42" s="106">
        <v>574260874.07000005</v>
      </c>
    </row>
    <row r="43" spans="1:5">
      <c r="A43" s="104">
        <v>31</v>
      </c>
      <c r="B43" s="102" t="s">
        <v>185</v>
      </c>
      <c r="C43" s="102" t="s">
        <v>186</v>
      </c>
      <c r="D43" s="106">
        <v>381089662.11000001</v>
      </c>
      <c r="E43" s="106">
        <v>373939162.11000001</v>
      </c>
    </row>
    <row r="44" spans="1:5">
      <c r="A44" s="104">
        <v>9</v>
      </c>
      <c r="B44" s="102" t="s">
        <v>187</v>
      </c>
      <c r="D44" s="105">
        <v>-815730854.58000016</v>
      </c>
      <c r="E44" s="105">
        <v>-397031845.52999997</v>
      </c>
    </row>
    <row r="45" spans="1:5">
      <c r="A45" s="104">
        <v>32</v>
      </c>
      <c r="B45" s="102" t="s">
        <v>188</v>
      </c>
      <c r="C45" s="102" t="s">
        <v>189</v>
      </c>
      <c r="D45" s="106">
        <v>-112752822.12000002</v>
      </c>
      <c r="E45" s="106">
        <v>-49361920.759999998</v>
      </c>
    </row>
    <row r="46" spans="1:5">
      <c r="A46" s="104">
        <v>33</v>
      </c>
      <c r="B46" s="102" t="s">
        <v>190</v>
      </c>
      <c r="C46" s="102" t="s">
        <v>191</v>
      </c>
      <c r="D46" s="106">
        <v>-306448141.21000004</v>
      </c>
      <c r="E46" s="106">
        <v>-150658178.90000001</v>
      </c>
    </row>
    <row r="47" spans="1:5">
      <c r="A47" s="104">
        <v>34</v>
      </c>
      <c r="B47" s="102" t="s">
        <v>192</v>
      </c>
      <c r="C47" s="102" t="s">
        <v>193</v>
      </c>
      <c r="D47" s="106">
        <v>-73403487.100000009</v>
      </c>
      <c r="E47" s="106">
        <v>-35686254</v>
      </c>
    </row>
    <row r="48" spans="1:5">
      <c r="A48" s="104">
        <v>35</v>
      </c>
      <c r="B48" s="102" t="s">
        <v>194</v>
      </c>
      <c r="C48" s="102" t="s">
        <v>195</v>
      </c>
      <c r="D48" s="106">
        <v>-20246504.129999999</v>
      </c>
      <c r="E48" s="106">
        <v>-7995341.2000000002</v>
      </c>
    </row>
    <row r="49" spans="1:5">
      <c r="A49" s="104">
        <v>36</v>
      </c>
      <c r="B49" s="102" t="s">
        <v>196</v>
      </c>
      <c r="C49" s="102" t="s">
        <v>197</v>
      </c>
      <c r="D49" s="106">
        <v>-244209315.18000004</v>
      </c>
      <c r="E49" s="106">
        <v>-119766962.23</v>
      </c>
    </row>
    <row r="50" spans="1:5">
      <c r="A50" s="104">
        <v>37</v>
      </c>
      <c r="B50" s="102" t="s">
        <v>198</v>
      </c>
      <c r="C50" s="102" t="s">
        <v>199</v>
      </c>
      <c r="D50" s="106">
        <v>-58670584.840000004</v>
      </c>
      <c r="E50" s="106">
        <v>-33563188.439999998</v>
      </c>
    </row>
    <row r="51" spans="1:5">
      <c r="A51" s="104">
        <v>10</v>
      </c>
      <c r="B51" s="102" t="s">
        <v>200</v>
      </c>
      <c r="D51" s="105">
        <v>1197566141.2700005</v>
      </c>
      <c r="E51" s="105">
        <v>169863014</v>
      </c>
    </row>
    <row r="52" spans="1:5">
      <c r="A52" s="104">
        <v>38</v>
      </c>
      <c r="B52" s="102" t="s">
        <v>201</v>
      </c>
      <c r="C52" s="102" t="s">
        <v>202</v>
      </c>
      <c r="D52" s="106">
        <v>661706621.27000046</v>
      </c>
      <c r="E52" s="106">
        <v>169863014</v>
      </c>
    </row>
    <row r="53" spans="1:5">
      <c r="A53" s="104">
        <v>39</v>
      </c>
      <c r="B53" s="102" t="s">
        <v>203</v>
      </c>
      <c r="C53" s="102" t="s">
        <v>204</v>
      </c>
      <c r="D53" s="106">
        <v>535859520</v>
      </c>
      <c r="E53" s="106">
        <v>0</v>
      </c>
    </row>
    <row r="54" spans="1:5">
      <c r="A54" s="104">
        <v>11</v>
      </c>
      <c r="B54" s="102" t="s">
        <v>205</v>
      </c>
      <c r="D54" s="105">
        <v>566991212.10000002</v>
      </c>
      <c r="E54" s="105">
        <v>242043963.09999999</v>
      </c>
    </row>
    <row r="55" spans="1:5">
      <c r="A55" s="104">
        <v>40</v>
      </c>
      <c r="B55" s="102" t="s">
        <v>206</v>
      </c>
      <c r="C55" s="102" t="s">
        <v>207</v>
      </c>
      <c r="D55" s="106">
        <v>216393.44999998808</v>
      </c>
      <c r="E55" s="106">
        <v>215995907.5</v>
      </c>
    </row>
    <row r="56" spans="1:5">
      <c r="A56" s="104">
        <v>41</v>
      </c>
      <c r="B56" s="102" t="s">
        <v>208</v>
      </c>
      <c r="C56" s="102" t="s">
        <v>209</v>
      </c>
      <c r="D56" s="106">
        <v>120296054.95999998</v>
      </c>
      <c r="E56" s="106">
        <v>2097153.13</v>
      </c>
    </row>
    <row r="57" spans="1:5">
      <c r="A57" s="104">
        <v>42</v>
      </c>
      <c r="B57" s="102" t="s">
        <v>210</v>
      </c>
      <c r="C57" s="102" t="s">
        <v>211</v>
      </c>
      <c r="D57" s="106">
        <v>440769055.45999998</v>
      </c>
      <c r="E57" s="106">
        <v>23950902.469999999</v>
      </c>
    </row>
    <row r="58" spans="1:5">
      <c r="A58" s="104">
        <v>43</v>
      </c>
      <c r="B58" s="102" t="s">
        <v>212</v>
      </c>
      <c r="C58" s="102" t="s">
        <v>213</v>
      </c>
      <c r="D58" s="106">
        <v>5709708.2300000004</v>
      </c>
      <c r="E58" s="106">
        <v>0</v>
      </c>
    </row>
    <row r="59" spans="1:5">
      <c r="A59" s="104">
        <v>12</v>
      </c>
      <c r="B59" s="102" t="s">
        <v>214</v>
      </c>
      <c r="D59" s="105">
        <v>167344691</v>
      </c>
      <c r="E59" s="105">
        <v>148406524</v>
      </c>
    </row>
    <row r="60" spans="1:5">
      <c r="A60" s="104">
        <v>44</v>
      </c>
      <c r="B60" s="102" t="s">
        <v>215</v>
      </c>
      <c r="C60" s="102" t="s">
        <v>216</v>
      </c>
      <c r="D60" s="106">
        <v>11888910</v>
      </c>
      <c r="E60" s="106">
        <v>11888910</v>
      </c>
    </row>
    <row r="61" spans="1:5">
      <c r="A61" s="104">
        <v>45</v>
      </c>
      <c r="B61" s="102" t="s">
        <v>217</v>
      </c>
      <c r="C61" s="102" t="s">
        <v>218</v>
      </c>
      <c r="D61" s="106">
        <v>155455781</v>
      </c>
      <c r="E61" s="106">
        <v>136517614</v>
      </c>
    </row>
    <row r="62" spans="1:5">
      <c r="A62" s="104">
        <v>13</v>
      </c>
      <c r="B62" s="102" t="s">
        <v>219</v>
      </c>
      <c r="D62" s="105">
        <v>-55676142471</v>
      </c>
      <c r="E62" s="105">
        <v>-39764793022</v>
      </c>
    </row>
    <row r="63" spans="1:5">
      <c r="A63" s="104">
        <v>46</v>
      </c>
      <c r="B63" s="102" t="s">
        <v>220</v>
      </c>
      <c r="C63" s="102" t="s">
        <v>221</v>
      </c>
      <c r="D63" s="106">
        <v>-25194648</v>
      </c>
      <c r="E63" s="106">
        <v>0</v>
      </c>
    </row>
    <row r="64" spans="1:5">
      <c r="A64" s="104">
        <v>47</v>
      </c>
      <c r="B64" s="102" t="s">
        <v>222</v>
      </c>
      <c r="C64" s="102" t="s">
        <v>223</v>
      </c>
      <c r="D64" s="106">
        <v>0</v>
      </c>
      <c r="E64" s="106">
        <v>-23694855</v>
      </c>
    </row>
    <row r="65" spans="1:5">
      <c r="A65" s="104">
        <v>48</v>
      </c>
      <c r="B65" s="102" t="s">
        <v>224</v>
      </c>
      <c r="C65" s="102" t="s">
        <v>225</v>
      </c>
      <c r="D65" s="106">
        <v>-55650947823</v>
      </c>
      <c r="E65" s="106">
        <v>-39741098167</v>
      </c>
    </row>
    <row r="66" spans="1:5">
      <c r="A66" s="104">
        <v>14</v>
      </c>
      <c r="B66" s="102" t="s">
        <v>226</v>
      </c>
      <c r="D66" s="105">
        <v>-57237576</v>
      </c>
      <c r="E66" s="105">
        <v>-3845762</v>
      </c>
    </row>
    <row r="67" spans="1:5">
      <c r="A67" s="104">
        <v>49</v>
      </c>
      <c r="B67" s="102" t="s">
        <v>227</v>
      </c>
      <c r="C67" s="102" t="s">
        <v>228</v>
      </c>
      <c r="D67" s="106">
        <v>-57237576</v>
      </c>
      <c r="E67" s="106">
        <v>-3845762</v>
      </c>
    </row>
    <row r="68" spans="1:5">
      <c r="A68" s="104">
        <v>15</v>
      </c>
      <c r="B68" s="102" t="s">
        <v>229</v>
      </c>
      <c r="D68" s="105">
        <v>-1455561594.02</v>
      </c>
      <c r="E68" s="105">
        <v>0</v>
      </c>
    </row>
    <row r="69" spans="1:5">
      <c r="A69" s="104">
        <v>50</v>
      </c>
      <c r="B69" s="102" t="s">
        <v>230</v>
      </c>
      <c r="C69" s="102" t="s">
        <v>231</v>
      </c>
      <c r="D69" s="106">
        <v>-1455561594.02</v>
      </c>
      <c r="E69" s="106">
        <v>0</v>
      </c>
    </row>
    <row r="70" spans="1:5">
      <c r="A70" s="104">
        <v>16</v>
      </c>
      <c r="B70" s="102" t="s">
        <v>232</v>
      </c>
      <c r="D70" s="105">
        <v>-171156271.21000034</v>
      </c>
      <c r="E70" s="105">
        <v>-43421744.07</v>
      </c>
    </row>
    <row r="71" spans="1:5">
      <c r="A71" s="104">
        <v>51</v>
      </c>
      <c r="B71" s="102" t="s">
        <v>233</v>
      </c>
      <c r="C71" s="102" t="s">
        <v>234</v>
      </c>
      <c r="D71" s="106">
        <v>5.0000190734863281E-2</v>
      </c>
      <c r="E71" s="106">
        <v>0</v>
      </c>
    </row>
    <row r="72" spans="1:5">
      <c r="A72" s="104">
        <v>52</v>
      </c>
      <c r="B72" s="102" t="s">
        <v>235</v>
      </c>
      <c r="C72" s="102" t="s">
        <v>236</v>
      </c>
      <c r="D72" s="106">
        <v>-139738472.19000053</v>
      </c>
      <c r="E72" s="106">
        <v>0</v>
      </c>
    </row>
    <row r="73" spans="1:5">
      <c r="A73" s="104">
        <v>53</v>
      </c>
      <c r="B73" s="102" t="s">
        <v>237</v>
      </c>
      <c r="C73" s="102" t="s">
        <v>238</v>
      </c>
      <c r="D73" s="106">
        <v>-31417799.069999989</v>
      </c>
      <c r="E73" s="106">
        <v>-43421744.07</v>
      </c>
    </row>
    <row r="74" spans="1:5">
      <c r="A74" s="104">
        <v>17</v>
      </c>
      <c r="B74" s="102" t="s">
        <v>239</v>
      </c>
      <c r="D74" s="105">
        <v>-853405976.87000036</v>
      </c>
      <c r="E74" s="105">
        <v>-529251788.82999998</v>
      </c>
    </row>
    <row r="75" spans="1:5">
      <c r="A75" s="104">
        <v>54</v>
      </c>
      <c r="B75" s="102" t="s">
        <v>240</v>
      </c>
      <c r="C75" s="102" t="s">
        <v>241</v>
      </c>
      <c r="D75" s="106">
        <v>-21286512</v>
      </c>
      <c r="E75" s="106">
        <v>-17150000</v>
      </c>
    </row>
    <row r="76" spans="1:5">
      <c r="A76" s="104">
        <v>55</v>
      </c>
      <c r="B76" s="102" t="s">
        <v>242</v>
      </c>
      <c r="C76" s="102" t="s">
        <v>243</v>
      </c>
      <c r="D76" s="106">
        <v>-7239040</v>
      </c>
      <c r="E76" s="106">
        <v>0</v>
      </c>
    </row>
    <row r="77" spans="1:5">
      <c r="A77" s="104">
        <v>56</v>
      </c>
      <c r="B77" s="102" t="s">
        <v>244</v>
      </c>
      <c r="C77" s="102" t="s">
        <v>245</v>
      </c>
      <c r="D77" s="106">
        <v>-2581632</v>
      </c>
      <c r="E77" s="106">
        <v>-2600000</v>
      </c>
    </row>
    <row r="78" spans="1:5">
      <c r="A78" s="104">
        <v>57</v>
      </c>
      <c r="B78" s="102" t="s">
        <v>246</v>
      </c>
      <c r="C78" s="102" t="s">
        <v>247</v>
      </c>
      <c r="D78" s="106">
        <v>-290706739.69000053</v>
      </c>
      <c r="E78" s="106">
        <v>0</v>
      </c>
    </row>
    <row r="79" spans="1:5">
      <c r="A79" s="104">
        <v>58</v>
      </c>
      <c r="B79" s="102" t="s">
        <v>248</v>
      </c>
      <c r="C79" s="102" t="s">
        <v>249</v>
      </c>
      <c r="D79" s="106">
        <v>-375453039.99999976</v>
      </c>
      <c r="E79" s="106">
        <v>-302067313.32999998</v>
      </c>
    </row>
    <row r="80" spans="1:5">
      <c r="A80" s="104">
        <v>59</v>
      </c>
      <c r="B80" s="102" t="s">
        <v>250</v>
      </c>
      <c r="C80" s="102" t="s">
        <v>251</v>
      </c>
      <c r="D80" s="106">
        <v>-129098980</v>
      </c>
      <c r="E80" s="106">
        <v>-139126366</v>
      </c>
    </row>
    <row r="81" spans="1:13">
      <c r="A81" s="104">
        <v>60</v>
      </c>
      <c r="B81" s="102" t="s">
        <v>252</v>
      </c>
      <c r="C81" s="102" t="s">
        <v>253</v>
      </c>
      <c r="D81" s="106">
        <v>0</v>
      </c>
      <c r="E81" s="106">
        <v>-68308109.5</v>
      </c>
    </row>
    <row r="82" spans="1:13">
      <c r="A82" s="104">
        <v>61</v>
      </c>
      <c r="B82" s="102" t="s">
        <v>254</v>
      </c>
      <c r="C82" s="102" t="s">
        <v>255</v>
      </c>
      <c r="D82" s="106">
        <v>-27040033.18</v>
      </c>
      <c r="E82" s="106">
        <v>0</v>
      </c>
    </row>
    <row r="83" spans="1:13">
      <c r="A83" s="104">
        <v>18</v>
      </c>
      <c r="B83" s="102" t="s">
        <v>256</v>
      </c>
      <c r="C83" s="106">
        <v>-100000000000</v>
      </c>
      <c r="D83" s="106">
        <v>-100000000000</v>
      </c>
    </row>
    <row r="84" spans="1:13">
      <c r="A84" s="104">
        <v>62</v>
      </c>
      <c r="B84" s="102" t="s">
        <v>257</v>
      </c>
      <c r="C84" s="102" t="s">
        <v>258</v>
      </c>
      <c r="D84" s="106">
        <v>-100000000000</v>
      </c>
      <c r="E84" s="106">
        <v>-100000000000</v>
      </c>
    </row>
    <row r="85" spans="1:13">
      <c r="A85" s="104">
        <v>19</v>
      </c>
      <c r="B85" s="102" t="s">
        <v>259</v>
      </c>
      <c r="C85" s="106">
        <v>-191823715.77000001</v>
      </c>
      <c r="D85" s="106">
        <v>-191823715.77000001</v>
      </c>
    </row>
    <row r="86" spans="1:13">
      <c r="A86" s="104">
        <v>63</v>
      </c>
      <c r="B86" s="102" t="s">
        <v>260</v>
      </c>
      <c r="C86" s="102" t="s">
        <v>261</v>
      </c>
      <c r="D86" s="106">
        <v>-191823715.77000001</v>
      </c>
      <c r="E86" s="106">
        <v>-191823715.77000001</v>
      </c>
    </row>
    <row r="87" spans="1:13">
      <c r="A87" s="104">
        <v>20</v>
      </c>
      <c r="B87" s="102" t="s">
        <v>262</v>
      </c>
      <c r="C87" s="106">
        <v>-3764215550.0900197</v>
      </c>
      <c r="D87" s="106">
        <v>0</v>
      </c>
    </row>
    <row r="88" spans="1:13">
      <c r="A88" s="104">
        <v>64</v>
      </c>
      <c r="B88" s="102" t="s">
        <v>263</v>
      </c>
      <c r="C88" s="102" t="s">
        <v>264</v>
      </c>
      <c r="D88" s="106">
        <v>-3764215550.0900197</v>
      </c>
      <c r="E88" s="106">
        <v>0</v>
      </c>
    </row>
    <row r="89" spans="1:13">
      <c r="A89" s="102" t="s">
        <v>265</v>
      </c>
      <c r="B89" s="102" t="s">
        <v>266</v>
      </c>
      <c r="C89" s="102" t="s">
        <v>267</v>
      </c>
      <c r="D89" s="102" t="s">
        <v>268</v>
      </c>
      <c r="E89" s="102" t="s">
        <v>269</v>
      </c>
      <c r="F89" s="102" t="s">
        <v>270</v>
      </c>
      <c r="G89" s="102" t="s">
        <v>270</v>
      </c>
      <c r="H89" s="102" t="s">
        <v>270</v>
      </c>
      <c r="I89" s="102" t="s">
        <v>270</v>
      </c>
      <c r="J89" s="102" t="s">
        <v>271</v>
      </c>
      <c r="K89" s="102" t="s">
        <v>271</v>
      </c>
      <c r="L89" s="102" t="s">
        <v>271</v>
      </c>
      <c r="M89" s="102" t="s">
        <v>271</v>
      </c>
    </row>
    <row r="90" spans="1:13">
      <c r="A90" s="104">
        <v>1</v>
      </c>
    </row>
    <row r="91" spans="1:13">
      <c r="D91" s="1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"/>
  <sheetViews>
    <sheetView workbookViewId="0">
      <selection activeCell="D10" sqref="D10"/>
    </sheetView>
  </sheetViews>
  <sheetFormatPr defaultRowHeight="15.75"/>
  <cols>
    <col min="1" max="1" width="6.625" style="103" customWidth="1"/>
    <col min="2" max="2" width="57.25" style="103" customWidth="1"/>
    <col min="3" max="3" width="13.875" style="103" customWidth="1"/>
    <col min="4" max="5" width="17.62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472</v>
      </c>
      <c r="E3" s="102" t="s">
        <v>114</v>
      </c>
    </row>
    <row r="4" spans="1:5">
      <c r="A4" s="102" t="s">
        <v>6</v>
      </c>
    </row>
    <row r="5" spans="1:5">
      <c r="A5" s="102" t="s">
        <v>5</v>
      </c>
      <c r="B5" s="102" t="s">
        <v>473</v>
      </c>
      <c r="C5" s="102" t="s">
        <v>474</v>
      </c>
      <c r="D5" s="106">
        <v>0</v>
      </c>
      <c r="E5" s="106">
        <v>0</v>
      </c>
    </row>
    <row r="6" spans="1:5">
      <c r="A6" s="102" t="s">
        <v>8</v>
      </c>
      <c r="B6" s="102" t="s">
        <v>475</v>
      </c>
      <c r="C6" s="102" t="s">
        <v>476</v>
      </c>
      <c r="D6" s="106">
        <v>54220710780.82</v>
      </c>
      <c r="E6" s="106">
        <v>0</v>
      </c>
    </row>
    <row r="7" spans="1:5">
      <c r="B7" s="102" t="s">
        <v>477</v>
      </c>
      <c r="C7" s="102" t="s">
        <v>478</v>
      </c>
      <c r="D7" s="106">
        <v>1698263965</v>
      </c>
      <c r="E7" s="106">
        <v>0</v>
      </c>
    </row>
    <row r="8" spans="1:5">
      <c r="B8" s="102" t="s">
        <v>479</v>
      </c>
      <c r="C8" s="102" t="s">
        <v>480</v>
      </c>
      <c r="D8" s="106">
        <v>47128414789.550003</v>
      </c>
      <c r="E8" s="106">
        <v>0</v>
      </c>
    </row>
    <row r="9" spans="1:5">
      <c r="B9" s="102" t="s">
        <v>481</v>
      </c>
      <c r="C9" s="102" t="s">
        <v>482</v>
      </c>
      <c r="D9" s="106">
        <v>4337669585.5500002</v>
      </c>
      <c r="E9" s="106">
        <v>0</v>
      </c>
    </row>
    <row r="10" spans="1:5">
      <c r="B10" s="102" t="s">
        <v>483</v>
      </c>
      <c r="C10" s="102" t="s">
        <v>484</v>
      </c>
      <c r="D10" s="106">
        <v>42790745204</v>
      </c>
      <c r="E10" s="106">
        <v>0</v>
      </c>
    </row>
    <row r="11" spans="1:5">
      <c r="B11" s="102" t="s">
        <v>485</v>
      </c>
      <c r="C11" s="102" t="s">
        <v>486</v>
      </c>
      <c r="D11" s="106">
        <v>0</v>
      </c>
      <c r="E11" s="106">
        <v>0</v>
      </c>
    </row>
    <row r="12" spans="1:5">
      <c r="B12" s="102" t="s">
        <v>487</v>
      </c>
      <c r="C12" s="102" t="s">
        <v>488</v>
      </c>
      <c r="D12" s="106">
        <v>74367919.930000007</v>
      </c>
      <c r="E12" s="106">
        <v>0</v>
      </c>
    </row>
    <row r="13" spans="1:5">
      <c r="B13" s="102" t="s">
        <v>489</v>
      </c>
      <c r="C13" s="102" t="s">
        <v>490</v>
      </c>
      <c r="D13" s="106">
        <v>5319664106.3400002</v>
      </c>
      <c r="E13" s="106">
        <v>0</v>
      </c>
    </row>
    <row r="14" spans="1:5">
      <c r="A14" s="102" t="s">
        <v>42</v>
      </c>
      <c r="B14" s="102" t="s">
        <v>470</v>
      </c>
      <c r="C14" s="102" t="s">
        <v>491</v>
      </c>
      <c r="D14" s="106">
        <v>-140644423.13</v>
      </c>
      <c r="E14" s="106">
        <v>0</v>
      </c>
    </row>
    <row r="15" spans="1:5">
      <c r="B15" s="102" t="s">
        <v>470</v>
      </c>
      <c r="C15" s="102" t="s">
        <v>492</v>
      </c>
      <c r="D15" s="106">
        <v>-140644423.13</v>
      </c>
      <c r="E15" s="106">
        <v>0</v>
      </c>
    </row>
    <row r="16" spans="1:5">
      <c r="B16" s="102" t="s">
        <v>493</v>
      </c>
      <c r="C16" s="102" t="s">
        <v>494</v>
      </c>
      <c r="D16" s="106">
        <v>54080066357.690002</v>
      </c>
      <c r="E16" s="106">
        <v>0</v>
      </c>
    </row>
    <row r="17" spans="1:5">
      <c r="A17" s="102" t="s">
        <v>5</v>
      </c>
      <c r="B17" s="102" t="s">
        <v>495</v>
      </c>
      <c r="C17" s="102" t="s">
        <v>496</v>
      </c>
      <c r="D17" s="106">
        <v>0</v>
      </c>
      <c r="E17" s="106">
        <v>0</v>
      </c>
    </row>
    <row r="18" spans="1:5">
      <c r="A18" s="102" t="s">
        <v>8</v>
      </c>
      <c r="B18" s="102" t="s">
        <v>497</v>
      </c>
      <c r="C18" s="102" t="s">
        <v>498</v>
      </c>
      <c r="D18" s="106">
        <v>42748984322.93</v>
      </c>
      <c r="E18" s="106">
        <v>0</v>
      </c>
    </row>
    <row r="19" spans="1:5">
      <c r="B19" s="102" t="s">
        <v>499</v>
      </c>
      <c r="C19" s="102" t="s">
        <v>500</v>
      </c>
      <c r="D19" s="106">
        <v>1037822372.92</v>
      </c>
      <c r="E19" s="106">
        <v>0</v>
      </c>
    </row>
    <row r="20" spans="1:5">
      <c r="B20" s="102" t="s">
        <v>501</v>
      </c>
      <c r="C20" s="102" t="s">
        <v>502</v>
      </c>
      <c r="D20" s="106">
        <v>41056803179.129997</v>
      </c>
      <c r="E20" s="106">
        <v>0</v>
      </c>
    </row>
    <row r="21" spans="1:5">
      <c r="B21" s="102" t="s">
        <v>503</v>
      </c>
      <c r="C21" s="102" t="s">
        <v>504</v>
      </c>
      <c r="D21" s="106">
        <v>0</v>
      </c>
      <c r="E21" s="106">
        <v>0</v>
      </c>
    </row>
    <row r="22" spans="1:5">
      <c r="B22" s="102" t="s">
        <v>505</v>
      </c>
      <c r="C22" s="102" t="s">
        <v>506</v>
      </c>
      <c r="D22" s="106">
        <v>0</v>
      </c>
      <c r="E22" s="106">
        <v>0</v>
      </c>
    </row>
    <row r="23" spans="1:5">
      <c r="B23" s="102" t="s">
        <v>507</v>
      </c>
      <c r="C23" s="102" t="s">
        <v>508</v>
      </c>
      <c r="D23" s="106">
        <v>654358770.88</v>
      </c>
      <c r="E23" s="106">
        <v>0</v>
      </c>
    </row>
    <row r="24" spans="1:5">
      <c r="A24" s="102" t="s">
        <v>42</v>
      </c>
      <c r="B24" s="102" t="s">
        <v>509</v>
      </c>
      <c r="C24" s="102" t="s">
        <v>510</v>
      </c>
      <c r="D24" s="106">
        <v>6032791515.8000002</v>
      </c>
      <c r="E24" s="106">
        <v>0</v>
      </c>
    </row>
    <row r="25" spans="1:5">
      <c r="B25" s="102" t="s">
        <v>511</v>
      </c>
      <c r="C25" s="102" t="s">
        <v>512</v>
      </c>
      <c r="D25" s="106">
        <v>3345993387.6799998</v>
      </c>
      <c r="E25" s="106">
        <v>0</v>
      </c>
    </row>
    <row r="26" spans="1:5">
      <c r="B26" s="102" t="s">
        <v>513</v>
      </c>
      <c r="C26" s="102" t="s">
        <v>514</v>
      </c>
      <c r="D26" s="106">
        <v>430481380.20999998</v>
      </c>
      <c r="E26" s="106">
        <v>0</v>
      </c>
    </row>
    <row r="27" spans="1:5">
      <c r="B27" s="102" t="s">
        <v>515</v>
      </c>
      <c r="C27" s="102" t="s">
        <v>516</v>
      </c>
      <c r="D27" s="106">
        <v>77870728</v>
      </c>
      <c r="E27" s="106">
        <v>0</v>
      </c>
    </row>
    <row r="28" spans="1:5">
      <c r="B28" s="102" t="s">
        <v>517</v>
      </c>
      <c r="C28" s="102" t="s">
        <v>518</v>
      </c>
      <c r="D28" s="106">
        <v>2178446019.9099998</v>
      </c>
      <c r="E28" s="106">
        <v>0</v>
      </c>
    </row>
    <row r="29" spans="1:5">
      <c r="A29" s="102" t="s">
        <v>48</v>
      </c>
      <c r="B29" s="102" t="s">
        <v>519</v>
      </c>
      <c r="C29" s="102" t="s">
        <v>520</v>
      </c>
      <c r="D29" s="106">
        <v>0</v>
      </c>
      <c r="E29" s="106">
        <v>0</v>
      </c>
    </row>
    <row r="30" spans="1:5">
      <c r="B30" s="102" t="s">
        <v>519</v>
      </c>
      <c r="C30" s="102" t="s">
        <v>521</v>
      </c>
      <c r="D30" s="106">
        <v>0</v>
      </c>
      <c r="E30" s="106">
        <v>0</v>
      </c>
    </row>
    <row r="31" spans="1:5">
      <c r="B31" s="102" t="s">
        <v>522</v>
      </c>
      <c r="C31" s="102" t="s">
        <v>523</v>
      </c>
      <c r="D31" s="106">
        <v>48781775838.730003</v>
      </c>
      <c r="E31" s="106">
        <v>0</v>
      </c>
    </row>
    <row r="32" spans="1:5">
      <c r="B32" s="102" t="s">
        <v>524</v>
      </c>
      <c r="C32" s="102" t="s">
        <v>525</v>
      </c>
      <c r="D32" s="106">
        <v>5298290518.96</v>
      </c>
      <c r="E32" s="106">
        <v>0</v>
      </c>
    </row>
    <row r="33" spans="1:13">
      <c r="B33" s="102" t="s">
        <v>526</v>
      </c>
      <c r="C33" s="102" t="s">
        <v>527</v>
      </c>
      <c r="D33" s="106">
        <v>1534074968.8699999</v>
      </c>
      <c r="E33" s="106">
        <v>0</v>
      </c>
    </row>
    <row r="34" spans="1:13">
      <c r="B34" s="102" t="s">
        <v>528</v>
      </c>
      <c r="C34" s="102" t="s">
        <v>529</v>
      </c>
      <c r="D34" s="114">
        <v>3764215550.0900002</v>
      </c>
      <c r="E34" s="106">
        <v>0</v>
      </c>
    </row>
    <row r="35" spans="1:13">
      <c r="A35" s="102" t="s">
        <v>265</v>
      </c>
      <c r="B35" s="102" t="s">
        <v>266</v>
      </c>
      <c r="C35" s="102" t="s">
        <v>267</v>
      </c>
      <c r="D35" s="102" t="s">
        <v>268</v>
      </c>
      <c r="E35" s="102" t="s">
        <v>269</v>
      </c>
      <c r="F35" s="102" t="s">
        <v>270</v>
      </c>
      <c r="G35" s="102" t="s">
        <v>270</v>
      </c>
      <c r="H35" s="102" t="s">
        <v>270</v>
      </c>
      <c r="I35" s="102" t="s">
        <v>270</v>
      </c>
      <c r="J35" s="102" t="s">
        <v>271</v>
      </c>
      <c r="K35" s="102" t="s">
        <v>271</v>
      </c>
      <c r="L35" s="102" t="s">
        <v>271</v>
      </c>
      <c r="M35" s="102" t="s">
        <v>271</v>
      </c>
    </row>
    <row r="36" spans="1:13">
      <c r="A36" s="10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7"/>
  <sheetViews>
    <sheetView topLeftCell="B1" workbookViewId="0">
      <selection activeCell="G5" sqref="G5"/>
    </sheetView>
  </sheetViews>
  <sheetFormatPr defaultRowHeight="15.75"/>
  <cols>
    <col min="1" max="1" width="7.5" style="103" customWidth="1"/>
    <col min="2" max="2" width="57.25" style="103" bestFit="1" customWidth="1"/>
    <col min="3" max="3" width="15.25" style="103" bestFit="1" customWidth="1"/>
    <col min="4" max="4" width="15.375" style="103" customWidth="1"/>
    <col min="5" max="8" width="15.25" style="103" bestFit="1" customWidth="1"/>
    <col min="9" max="9" width="3.25" style="103" bestFit="1" customWidth="1"/>
    <col min="10" max="16384" width="9" style="103"/>
  </cols>
  <sheetData>
    <row r="1" spans="1:8">
      <c r="A1" s="174" t="s">
        <v>110</v>
      </c>
      <c r="B1" s="174" t="s">
        <v>111</v>
      </c>
      <c r="D1" s="102" t="s">
        <v>625</v>
      </c>
    </row>
    <row r="3" spans="1:8">
      <c r="C3" s="448" t="s">
        <v>626</v>
      </c>
      <c r="D3" s="449"/>
      <c r="E3" s="448" t="s">
        <v>531</v>
      </c>
      <c r="F3" s="448"/>
      <c r="G3" s="448" t="s">
        <v>532</v>
      </c>
      <c r="H3" s="449"/>
    </row>
    <row r="4" spans="1:8">
      <c r="C4" s="181" t="s">
        <v>272</v>
      </c>
      <c r="D4" s="181" t="s">
        <v>273</v>
      </c>
      <c r="E4" s="181" t="s">
        <v>272</v>
      </c>
      <c r="F4" s="181" t="s">
        <v>273</v>
      </c>
      <c r="G4" s="181" t="s">
        <v>272</v>
      </c>
      <c r="H4" s="181" t="s">
        <v>273</v>
      </c>
    </row>
    <row r="5" spans="1:8">
      <c r="A5" s="174" t="s">
        <v>118</v>
      </c>
      <c r="B5" s="174" t="s">
        <v>119</v>
      </c>
      <c r="C5" s="175">
        <v>4468000</v>
      </c>
      <c r="D5" s="175">
        <v>0</v>
      </c>
      <c r="E5" s="175">
        <v>34264818</v>
      </c>
      <c r="F5" s="175">
        <v>28732818</v>
      </c>
      <c r="G5" s="175">
        <v>10000000</v>
      </c>
      <c r="H5" s="175">
        <v>0</v>
      </c>
    </row>
    <row r="6" spans="1:8">
      <c r="A6" s="174" t="s">
        <v>141</v>
      </c>
      <c r="B6" s="174" t="s">
        <v>142</v>
      </c>
      <c r="C6" s="175">
        <v>2281603544.3500061</v>
      </c>
      <c r="D6" s="175">
        <v>0</v>
      </c>
      <c r="E6" s="175">
        <v>0</v>
      </c>
      <c r="F6" s="175">
        <v>0</v>
      </c>
      <c r="G6" s="175">
        <v>2281603544.3500061</v>
      </c>
      <c r="H6" s="175">
        <v>0</v>
      </c>
    </row>
    <row r="7" spans="1:8">
      <c r="A7" s="174" t="s">
        <v>127</v>
      </c>
      <c r="B7" s="174" t="s">
        <v>128</v>
      </c>
      <c r="C7" s="175">
        <v>137607.24000000954</v>
      </c>
      <c r="D7" s="175">
        <v>0</v>
      </c>
      <c r="E7" s="175">
        <v>0</v>
      </c>
      <c r="F7" s="175">
        <v>0</v>
      </c>
      <c r="G7" s="175">
        <v>137607.24000000954</v>
      </c>
      <c r="H7" s="175">
        <v>0</v>
      </c>
    </row>
    <row r="8" spans="1:8">
      <c r="A8" s="174" t="s">
        <v>135</v>
      </c>
      <c r="B8" s="174" t="s">
        <v>136</v>
      </c>
      <c r="C8" s="175">
        <v>1788525.38</v>
      </c>
      <c r="D8" s="175">
        <v>0</v>
      </c>
      <c r="E8" s="175">
        <v>228985622.06999999</v>
      </c>
      <c r="F8" s="175">
        <v>3039199.23</v>
      </c>
      <c r="G8" s="175">
        <v>227734948.22</v>
      </c>
      <c r="H8" s="175">
        <v>0</v>
      </c>
    </row>
    <row r="9" spans="1:8">
      <c r="A9" s="174" t="s">
        <v>143</v>
      </c>
      <c r="B9" s="174" t="s">
        <v>144</v>
      </c>
      <c r="C9" s="175">
        <v>1594317.12</v>
      </c>
      <c r="D9" s="175">
        <v>0</v>
      </c>
      <c r="E9" s="175">
        <v>0</v>
      </c>
      <c r="F9" s="175">
        <v>93419.15</v>
      </c>
      <c r="G9" s="175">
        <v>1500897.97</v>
      </c>
      <c r="H9" s="175">
        <v>0</v>
      </c>
    </row>
    <row r="10" spans="1:8">
      <c r="A10" s="174" t="s">
        <v>131</v>
      </c>
      <c r="B10" s="174" t="s">
        <v>132</v>
      </c>
      <c r="C10" s="175">
        <v>294629790</v>
      </c>
      <c r="D10" s="175">
        <v>0</v>
      </c>
      <c r="E10" s="175">
        <v>9547278851</v>
      </c>
      <c r="F10" s="175">
        <v>9671102750</v>
      </c>
      <c r="G10" s="175">
        <v>170805891</v>
      </c>
      <c r="H10" s="175">
        <v>0</v>
      </c>
    </row>
    <row r="11" spans="1:8">
      <c r="A11" s="174" t="s">
        <v>121</v>
      </c>
      <c r="B11" s="174" t="s">
        <v>122</v>
      </c>
      <c r="C11" s="175">
        <v>55650947823</v>
      </c>
      <c r="D11" s="175">
        <v>0</v>
      </c>
      <c r="E11" s="175">
        <v>29289650887</v>
      </c>
      <c r="F11" s="175">
        <v>53729764770</v>
      </c>
      <c r="G11" s="175">
        <v>31210833940</v>
      </c>
      <c r="H11" s="175">
        <v>0</v>
      </c>
    </row>
    <row r="12" spans="1:8">
      <c r="A12" s="174" t="s">
        <v>123</v>
      </c>
      <c r="B12" s="174" t="s">
        <v>124</v>
      </c>
      <c r="C12" s="175">
        <v>100000</v>
      </c>
      <c r="D12" s="175">
        <v>0</v>
      </c>
      <c r="E12" s="175">
        <v>0</v>
      </c>
      <c r="F12" s="175">
        <v>0</v>
      </c>
      <c r="G12" s="175">
        <v>100000</v>
      </c>
      <c r="H12" s="175">
        <v>0</v>
      </c>
    </row>
    <row r="13" spans="1:8">
      <c r="A13" s="174" t="s">
        <v>274</v>
      </c>
      <c r="B13" s="174" t="s">
        <v>275</v>
      </c>
      <c r="C13" s="175">
        <v>0</v>
      </c>
      <c r="D13" s="175">
        <v>0</v>
      </c>
      <c r="E13" s="175">
        <v>0</v>
      </c>
      <c r="F13" s="175">
        <v>0</v>
      </c>
      <c r="G13" s="175">
        <v>0</v>
      </c>
      <c r="H13" s="175">
        <v>0</v>
      </c>
    </row>
    <row r="14" spans="1:8">
      <c r="A14" s="174" t="s">
        <v>276</v>
      </c>
      <c r="B14" s="174" t="s">
        <v>277</v>
      </c>
      <c r="C14" s="175">
        <v>3.814697265625E-6</v>
      </c>
      <c r="D14" s="175">
        <v>0</v>
      </c>
      <c r="E14" s="175">
        <v>0</v>
      </c>
      <c r="F14" s="175">
        <v>0</v>
      </c>
      <c r="G14" s="175">
        <v>3.814697265625E-6</v>
      </c>
      <c r="H14" s="175">
        <v>0</v>
      </c>
    </row>
    <row r="15" spans="1:8">
      <c r="A15" s="174" t="s">
        <v>278</v>
      </c>
      <c r="B15" s="174" t="s">
        <v>279</v>
      </c>
      <c r="C15" s="175">
        <v>0</v>
      </c>
      <c r="D15" s="175">
        <v>1.3425946235656738E-5</v>
      </c>
      <c r="E15" s="175">
        <v>0</v>
      </c>
      <c r="F15" s="175">
        <v>0</v>
      </c>
      <c r="G15" s="175">
        <v>0</v>
      </c>
      <c r="H15" s="175">
        <v>1.3425946235656738E-5</v>
      </c>
    </row>
    <row r="16" spans="1:8">
      <c r="A16" s="174" t="s">
        <v>145</v>
      </c>
      <c r="B16" s="174" t="s">
        <v>146</v>
      </c>
      <c r="C16" s="175">
        <v>1000000</v>
      </c>
      <c r="D16" s="175">
        <v>0</v>
      </c>
      <c r="E16" s="175">
        <v>0</v>
      </c>
      <c r="F16" s="175">
        <v>0</v>
      </c>
      <c r="G16" s="175">
        <v>1000000</v>
      </c>
      <c r="H16" s="175">
        <v>0</v>
      </c>
    </row>
    <row r="17" spans="1:8">
      <c r="A17" s="174" t="s">
        <v>149</v>
      </c>
      <c r="B17" s="174" t="s">
        <v>150</v>
      </c>
      <c r="C17" s="175">
        <v>9249349530.220005</v>
      </c>
      <c r="D17" s="175">
        <v>0</v>
      </c>
      <c r="E17" s="175">
        <v>667229728.64999998</v>
      </c>
      <c r="F17" s="175">
        <v>3097545806.7800002</v>
      </c>
      <c r="G17" s="175">
        <v>6819033452.0900049</v>
      </c>
      <c r="H17" s="175">
        <v>0</v>
      </c>
    </row>
    <row r="18" spans="1:8">
      <c r="A18" s="174" t="s">
        <v>139</v>
      </c>
      <c r="B18" s="174" t="s">
        <v>140</v>
      </c>
      <c r="C18" s="175">
        <v>30012667.199999999</v>
      </c>
      <c r="D18" s="175">
        <v>0</v>
      </c>
      <c r="E18" s="175">
        <v>198771760.03</v>
      </c>
      <c r="F18" s="175">
        <v>129477859.86999997</v>
      </c>
      <c r="G18" s="175">
        <v>99306567.360000014</v>
      </c>
      <c r="H18" s="175">
        <v>0</v>
      </c>
    </row>
    <row r="19" spans="1:8">
      <c r="A19" s="174" t="s">
        <v>137</v>
      </c>
      <c r="B19" s="174" t="s">
        <v>138</v>
      </c>
      <c r="C19" s="175">
        <v>3469166998</v>
      </c>
      <c r="D19" s="175">
        <v>0</v>
      </c>
      <c r="E19" s="175">
        <v>493150686</v>
      </c>
      <c r="F19" s="175">
        <v>0</v>
      </c>
      <c r="G19" s="175">
        <v>3962317684</v>
      </c>
      <c r="H19" s="175">
        <v>0</v>
      </c>
    </row>
    <row r="20" spans="1:8">
      <c r="A20" s="174" t="s">
        <v>151</v>
      </c>
      <c r="B20" s="174" t="s">
        <v>152</v>
      </c>
      <c r="C20" s="175">
        <v>834498509.7700119</v>
      </c>
      <c r="D20" s="175">
        <v>0</v>
      </c>
      <c r="E20" s="175">
        <v>834110658.71999979</v>
      </c>
      <c r="F20" s="175">
        <v>0</v>
      </c>
      <c r="G20" s="175">
        <v>1668609168.4900117</v>
      </c>
      <c r="H20" s="175">
        <v>0</v>
      </c>
    </row>
    <row r="21" spans="1:8">
      <c r="A21" s="174" t="s">
        <v>147</v>
      </c>
      <c r="B21" s="174" t="s">
        <v>148</v>
      </c>
      <c r="C21" s="175">
        <v>20000000000</v>
      </c>
      <c r="D21" s="175">
        <v>0</v>
      </c>
      <c r="E21" s="175">
        <v>0</v>
      </c>
      <c r="F21" s="175">
        <v>0</v>
      </c>
      <c r="G21" s="175">
        <v>20000000000</v>
      </c>
      <c r="H21" s="175">
        <v>0</v>
      </c>
    </row>
    <row r="22" spans="1:8">
      <c r="A22" s="174" t="s">
        <v>125</v>
      </c>
      <c r="B22" s="174" t="s">
        <v>126</v>
      </c>
      <c r="C22" s="175">
        <v>25000000000</v>
      </c>
      <c r="D22" s="175">
        <v>0</v>
      </c>
      <c r="E22" s="175">
        <v>0</v>
      </c>
      <c r="F22" s="175">
        <v>0</v>
      </c>
      <c r="G22" s="175">
        <v>25000000000</v>
      </c>
      <c r="H22" s="175">
        <v>0</v>
      </c>
    </row>
    <row r="23" spans="1:8">
      <c r="A23" s="174" t="s">
        <v>129</v>
      </c>
      <c r="B23" s="174" t="s">
        <v>130</v>
      </c>
      <c r="C23" s="175">
        <v>5000000000</v>
      </c>
      <c r="D23" s="175">
        <v>0</v>
      </c>
      <c r="E23" s="175">
        <v>0</v>
      </c>
      <c r="F23" s="175">
        <v>0</v>
      </c>
      <c r="G23" s="175">
        <v>5000000000</v>
      </c>
      <c r="H23" s="175">
        <v>0</v>
      </c>
    </row>
    <row r="24" spans="1:8">
      <c r="A24" s="174" t="s">
        <v>133</v>
      </c>
      <c r="B24" s="174" t="s">
        <v>134</v>
      </c>
      <c r="C24" s="175">
        <v>35000000000</v>
      </c>
      <c r="D24" s="175">
        <v>0</v>
      </c>
      <c r="E24" s="175">
        <v>0</v>
      </c>
      <c r="F24" s="175">
        <v>0</v>
      </c>
      <c r="G24" s="175">
        <v>35000000000</v>
      </c>
      <c r="H24" s="175">
        <v>0</v>
      </c>
    </row>
    <row r="25" spans="1:8">
      <c r="A25" s="174" t="s">
        <v>201</v>
      </c>
      <c r="B25" s="174" t="s">
        <v>202</v>
      </c>
      <c r="C25" s="175">
        <v>661706621.27000046</v>
      </c>
      <c r="D25" s="175">
        <v>0</v>
      </c>
      <c r="E25" s="175">
        <v>1924914384.6900001</v>
      </c>
      <c r="F25" s="175">
        <v>1924914384.6900001</v>
      </c>
      <c r="G25" s="175">
        <v>661706621.27000058</v>
      </c>
      <c r="H25" s="175">
        <v>0</v>
      </c>
    </row>
    <row r="26" spans="1:8">
      <c r="A26" s="174" t="s">
        <v>217</v>
      </c>
      <c r="B26" s="174" t="s">
        <v>218</v>
      </c>
      <c r="C26" s="175">
        <v>155455781</v>
      </c>
      <c r="D26" s="175">
        <v>0</v>
      </c>
      <c r="E26" s="175">
        <v>5404683</v>
      </c>
      <c r="F26" s="175">
        <v>0</v>
      </c>
      <c r="G26" s="175">
        <v>160860464</v>
      </c>
      <c r="H26" s="175">
        <v>0</v>
      </c>
    </row>
    <row r="27" spans="1:8">
      <c r="A27" s="174" t="s">
        <v>215</v>
      </c>
      <c r="B27" s="174" t="s">
        <v>216</v>
      </c>
      <c r="C27" s="175">
        <v>11888910</v>
      </c>
      <c r="D27" s="175">
        <v>0</v>
      </c>
      <c r="E27" s="175">
        <v>0</v>
      </c>
      <c r="F27" s="175">
        <v>0</v>
      </c>
      <c r="G27" s="175">
        <v>11888910</v>
      </c>
      <c r="H27" s="175">
        <v>0</v>
      </c>
    </row>
    <row r="28" spans="1:8">
      <c r="A28" s="174" t="s">
        <v>282</v>
      </c>
      <c r="B28" s="174" t="s">
        <v>283</v>
      </c>
      <c r="C28" s="175">
        <v>0</v>
      </c>
      <c r="D28" s="175">
        <v>0</v>
      </c>
      <c r="E28" s="175">
        <v>900898</v>
      </c>
      <c r="F28" s="175">
        <v>0</v>
      </c>
      <c r="G28" s="175">
        <v>900898</v>
      </c>
      <c r="H28" s="175">
        <v>0</v>
      </c>
    </row>
    <row r="29" spans="1:8">
      <c r="A29" s="174" t="s">
        <v>159</v>
      </c>
      <c r="B29" s="174" t="s">
        <v>160</v>
      </c>
      <c r="C29" s="175">
        <v>58820889</v>
      </c>
      <c r="D29" s="175">
        <v>0</v>
      </c>
      <c r="E29" s="175">
        <v>1438015770</v>
      </c>
      <c r="F29" s="175">
        <v>1496836659</v>
      </c>
      <c r="G29" s="175">
        <v>0</v>
      </c>
      <c r="H29" s="175">
        <v>0</v>
      </c>
    </row>
    <row r="30" spans="1:8">
      <c r="A30" s="174" t="s">
        <v>162</v>
      </c>
      <c r="B30" s="174" t="s">
        <v>163</v>
      </c>
      <c r="C30" s="175">
        <v>0</v>
      </c>
      <c r="D30" s="175">
        <v>0</v>
      </c>
      <c r="E30" s="175">
        <v>8309956932</v>
      </c>
      <c r="F30" s="175">
        <v>7550442192</v>
      </c>
      <c r="G30" s="175">
        <v>759514740</v>
      </c>
      <c r="H30" s="175">
        <v>0</v>
      </c>
    </row>
    <row r="31" spans="1:8">
      <c r="A31" s="174" t="s">
        <v>203</v>
      </c>
      <c r="B31" s="174" t="s">
        <v>204</v>
      </c>
      <c r="C31" s="175">
        <v>535859520</v>
      </c>
      <c r="D31" s="175">
        <v>0</v>
      </c>
      <c r="E31" s="175">
        <v>164430479.69</v>
      </c>
      <c r="F31" s="175">
        <v>473098447.31999999</v>
      </c>
      <c r="G31" s="175">
        <v>227191552.37</v>
      </c>
      <c r="H31" s="175">
        <v>0</v>
      </c>
    </row>
    <row r="32" spans="1:8">
      <c r="A32" s="174" t="s">
        <v>154</v>
      </c>
      <c r="B32" s="174" t="s">
        <v>155</v>
      </c>
      <c r="C32" s="175">
        <v>474219940.07999992</v>
      </c>
      <c r="D32" s="175">
        <v>0</v>
      </c>
      <c r="E32" s="175">
        <v>777718906.67999995</v>
      </c>
      <c r="F32" s="175">
        <v>0</v>
      </c>
      <c r="G32" s="175">
        <v>1251938846.76</v>
      </c>
      <c r="H32" s="175">
        <v>0</v>
      </c>
    </row>
    <row r="33" spans="1:8">
      <c r="A33" s="174" t="s">
        <v>156</v>
      </c>
      <c r="B33" s="174" t="s">
        <v>157</v>
      </c>
      <c r="C33" s="175">
        <v>40700259.929999948</v>
      </c>
      <c r="D33" s="175">
        <v>0</v>
      </c>
      <c r="E33" s="175">
        <v>350617077.26999998</v>
      </c>
      <c r="F33" s="175">
        <v>278558583.95999998</v>
      </c>
      <c r="G33" s="175">
        <v>112758753.23999996</v>
      </c>
      <c r="H33" s="175">
        <v>0</v>
      </c>
    </row>
    <row r="34" spans="1:8">
      <c r="A34" s="174" t="s">
        <v>165</v>
      </c>
      <c r="B34" s="174" t="s">
        <v>166</v>
      </c>
      <c r="C34" s="175">
        <v>5968583</v>
      </c>
      <c r="D34" s="175">
        <v>0</v>
      </c>
      <c r="E34" s="175">
        <v>12895714</v>
      </c>
      <c r="F34" s="175">
        <v>2895714</v>
      </c>
      <c r="G34" s="175">
        <v>15968583</v>
      </c>
      <c r="H34" s="175">
        <v>0</v>
      </c>
    </row>
    <row r="35" spans="1:8">
      <c r="A35" s="174" t="s">
        <v>171</v>
      </c>
      <c r="B35" s="174" t="s">
        <v>172</v>
      </c>
      <c r="C35" s="175">
        <v>0</v>
      </c>
      <c r="D35" s="175">
        <v>0</v>
      </c>
      <c r="E35" s="175">
        <v>0</v>
      </c>
      <c r="F35" s="175">
        <v>0</v>
      </c>
      <c r="G35" s="175">
        <v>0</v>
      </c>
      <c r="H35" s="175">
        <v>0</v>
      </c>
    </row>
    <row r="36" spans="1:8">
      <c r="A36" s="174" t="s">
        <v>167</v>
      </c>
      <c r="B36" s="174" t="s">
        <v>168</v>
      </c>
      <c r="C36" s="175">
        <v>0</v>
      </c>
      <c r="D36" s="175">
        <v>0</v>
      </c>
      <c r="E36" s="175">
        <v>372200</v>
      </c>
      <c r="F36" s="175">
        <v>0</v>
      </c>
      <c r="G36" s="175">
        <v>372200</v>
      </c>
      <c r="H36" s="175">
        <v>0</v>
      </c>
    </row>
    <row r="37" spans="1:8">
      <c r="A37" s="174" t="s">
        <v>169</v>
      </c>
      <c r="B37" s="174" t="s">
        <v>170</v>
      </c>
      <c r="C37" s="175">
        <v>500000</v>
      </c>
      <c r="D37" s="175">
        <v>0</v>
      </c>
      <c r="E37" s="175">
        <v>43605000</v>
      </c>
      <c r="F37" s="175">
        <v>40105000</v>
      </c>
      <c r="G37" s="175">
        <v>4000000</v>
      </c>
      <c r="H37" s="175">
        <v>0</v>
      </c>
    </row>
    <row r="38" spans="1:8">
      <c r="A38" s="174" t="s">
        <v>210</v>
      </c>
      <c r="B38" s="174" t="s">
        <v>211</v>
      </c>
      <c r="C38" s="175">
        <v>440769055.4600001</v>
      </c>
      <c r="D38" s="175">
        <v>0</v>
      </c>
      <c r="E38" s="175">
        <v>51041361.420000002</v>
      </c>
      <c r="F38" s="175">
        <v>151140349.64999998</v>
      </c>
      <c r="G38" s="175">
        <v>340670067.23000008</v>
      </c>
      <c r="H38" s="175">
        <v>0</v>
      </c>
    </row>
    <row r="39" spans="1:8">
      <c r="A39" s="174" t="s">
        <v>208</v>
      </c>
      <c r="B39" s="174" t="s">
        <v>209</v>
      </c>
      <c r="C39" s="175">
        <v>120296054.95999999</v>
      </c>
      <c r="D39" s="175">
        <v>0</v>
      </c>
      <c r="E39" s="175">
        <v>21767146.350000001</v>
      </c>
      <c r="F39" s="175">
        <v>35568266.63000001</v>
      </c>
      <c r="G39" s="175">
        <v>106494934.68000001</v>
      </c>
      <c r="H39" s="175">
        <v>0</v>
      </c>
    </row>
    <row r="40" spans="1:8">
      <c r="A40" s="174" t="s">
        <v>206</v>
      </c>
      <c r="B40" s="174" t="s">
        <v>207</v>
      </c>
      <c r="C40" s="175">
        <v>216393.44999998808</v>
      </c>
      <c r="D40" s="175">
        <v>0</v>
      </c>
      <c r="E40" s="175">
        <v>5280000</v>
      </c>
      <c r="F40" s="175">
        <v>1301960.81</v>
      </c>
      <c r="G40" s="175">
        <v>4194432.6399999885</v>
      </c>
      <c r="H40" s="175">
        <v>0</v>
      </c>
    </row>
    <row r="41" spans="1:8">
      <c r="A41" s="174" t="s">
        <v>212</v>
      </c>
      <c r="B41" s="174" t="s">
        <v>213</v>
      </c>
      <c r="C41" s="175">
        <v>5709708.2300000004</v>
      </c>
      <c r="D41" s="175">
        <v>0</v>
      </c>
      <c r="E41" s="175">
        <v>0</v>
      </c>
      <c r="F41" s="175">
        <v>2568002.7400000002</v>
      </c>
      <c r="G41" s="175">
        <v>3141705.49</v>
      </c>
      <c r="H41" s="175">
        <v>0</v>
      </c>
    </row>
    <row r="42" spans="1:8">
      <c r="A42" s="174" t="s">
        <v>174</v>
      </c>
      <c r="B42" s="174" t="s">
        <v>175</v>
      </c>
      <c r="C42" s="175">
        <v>307778050.00999999</v>
      </c>
      <c r="D42" s="175">
        <v>0</v>
      </c>
      <c r="E42" s="175">
        <v>0</v>
      </c>
      <c r="F42" s="175">
        <v>6900000</v>
      </c>
      <c r="G42" s="175">
        <v>300878050.00999999</v>
      </c>
      <c r="H42" s="175">
        <v>0</v>
      </c>
    </row>
    <row r="43" spans="1:8">
      <c r="A43" s="174" t="s">
        <v>179</v>
      </c>
      <c r="B43" s="174" t="s">
        <v>180</v>
      </c>
      <c r="C43" s="175">
        <v>629368000</v>
      </c>
      <c r="D43" s="175">
        <v>0</v>
      </c>
      <c r="E43" s="175">
        <v>0</v>
      </c>
      <c r="F43" s="175">
        <v>0</v>
      </c>
      <c r="G43" s="175">
        <v>629368000</v>
      </c>
      <c r="H43" s="175">
        <v>0</v>
      </c>
    </row>
    <row r="44" spans="1:8">
      <c r="A44" s="174" t="s">
        <v>177</v>
      </c>
      <c r="B44" s="174" t="s">
        <v>178</v>
      </c>
      <c r="C44" s="175">
        <v>1547672051.8699999</v>
      </c>
      <c r="D44" s="175">
        <v>0</v>
      </c>
      <c r="E44" s="175">
        <v>4840000</v>
      </c>
      <c r="F44" s="175">
        <v>0</v>
      </c>
      <c r="G44" s="175">
        <v>1552512051.8699999</v>
      </c>
      <c r="H44" s="175">
        <v>0</v>
      </c>
    </row>
    <row r="45" spans="1:8">
      <c r="A45" s="174" t="s">
        <v>183</v>
      </c>
      <c r="B45" s="174" t="s">
        <v>184</v>
      </c>
      <c r="C45" s="175">
        <v>649742024.07000005</v>
      </c>
      <c r="D45" s="175">
        <v>0</v>
      </c>
      <c r="E45" s="175">
        <v>3722000</v>
      </c>
      <c r="F45" s="175">
        <v>3786644.92</v>
      </c>
      <c r="G45" s="175">
        <v>649677379.1500001</v>
      </c>
      <c r="H45" s="175">
        <v>0</v>
      </c>
    </row>
    <row r="46" spans="1:8">
      <c r="A46" s="174" t="s">
        <v>181</v>
      </c>
      <c r="B46" s="174" t="s">
        <v>182</v>
      </c>
      <c r="C46" s="175">
        <v>138215192.81999999</v>
      </c>
      <c r="D46" s="175">
        <v>0</v>
      </c>
      <c r="E46" s="175">
        <v>0</v>
      </c>
      <c r="F46" s="175">
        <v>0</v>
      </c>
      <c r="G46" s="175">
        <v>138215192.81999999</v>
      </c>
      <c r="H46" s="175">
        <v>0</v>
      </c>
    </row>
    <row r="47" spans="1:8">
      <c r="A47" s="174" t="s">
        <v>185</v>
      </c>
      <c r="B47" s="174" t="s">
        <v>186</v>
      </c>
      <c r="C47" s="175">
        <v>381089662.11000001</v>
      </c>
      <c r="D47" s="175">
        <v>0</v>
      </c>
      <c r="E47" s="175">
        <v>0</v>
      </c>
      <c r="F47" s="175">
        <v>0</v>
      </c>
      <c r="G47" s="175">
        <v>381089662.11000001</v>
      </c>
      <c r="H47" s="175">
        <v>0</v>
      </c>
    </row>
    <row r="48" spans="1:8">
      <c r="A48" s="174" t="s">
        <v>198</v>
      </c>
      <c r="B48" s="174" t="s">
        <v>199</v>
      </c>
      <c r="C48" s="175">
        <v>0</v>
      </c>
      <c r="D48" s="175">
        <v>58670584.840000004</v>
      </c>
      <c r="E48" s="175">
        <v>6900000</v>
      </c>
      <c r="F48" s="175">
        <v>15600406.210000001</v>
      </c>
      <c r="G48" s="175">
        <v>0</v>
      </c>
      <c r="H48" s="175">
        <v>67370991.049999997</v>
      </c>
    </row>
    <row r="49" spans="1:8">
      <c r="A49" s="174" t="s">
        <v>196</v>
      </c>
      <c r="B49" s="174" t="s">
        <v>197</v>
      </c>
      <c r="C49" s="175">
        <v>0</v>
      </c>
      <c r="D49" s="175">
        <v>244209315.18000004</v>
      </c>
      <c r="E49" s="175">
        <v>0</v>
      </c>
      <c r="F49" s="175">
        <v>31013694.579999998</v>
      </c>
      <c r="G49" s="175">
        <v>0</v>
      </c>
      <c r="H49" s="175">
        <v>275223009.76000005</v>
      </c>
    </row>
    <row r="50" spans="1:8">
      <c r="A50" s="174" t="s">
        <v>190</v>
      </c>
      <c r="B50" s="174" t="s">
        <v>191</v>
      </c>
      <c r="C50" s="175">
        <v>0</v>
      </c>
      <c r="D50" s="175">
        <v>306448141.20999998</v>
      </c>
      <c r="E50" s="175">
        <v>0</v>
      </c>
      <c r="F50" s="175">
        <v>38130466.560000002</v>
      </c>
      <c r="G50" s="175">
        <v>0</v>
      </c>
      <c r="H50" s="175">
        <v>344578607.76999998</v>
      </c>
    </row>
    <row r="51" spans="1:8">
      <c r="A51" s="174" t="s">
        <v>188</v>
      </c>
      <c r="B51" s="174" t="s">
        <v>189</v>
      </c>
      <c r="C51" s="175">
        <v>0</v>
      </c>
      <c r="D51" s="175">
        <v>112752822.11999997</v>
      </c>
      <c r="E51" s="175">
        <v>834450.85</v>
      </c>
      <c r="F51" s="175">
        <v>15988255.859999998</v>
      </c>
      <c r="G51" s="175">
        <v>0</v>
      </c>
      <c r="H51" s="175">
        <v>127906627.12999998</v>
      </c>
    </row>
    <row r="52" spans="1:8">
      <c r="A52" s="174" t="s">
        <v>194</v>
      </c>
      <c r="B52" s="174" t="s">
        <v>195</v>
      </c>
      <c r="C52" s="175">
        <v>0</v>
      </c>
      <c r="D52" s="175">
        <v>20246504.130000003</v>
      </c>
      <c r="E52" s="175">
        <v>0</v>
      </c>
      <c r="F52" s="175">
        <v>3379019.0499999989</v>
      </c>
      <c r="G52" s="175">
        <v>0</v>
      </c>
      <c r="H52" s="175">
        <v>23625523.18</v>
      </c>
    </row>
    <row r="53" spans="1:8">
      <c r="A53" s="174" t="s">
        <v>192</v>
      </c>
      <c r="B53" s="174" t="s">
        <v>193</v>
      </c>
      <c r="C53" s="175">
        <v>0</v>
      </c>
      <c r="D53" s="175">
        <v>73403487.100000009</v>
      </c>
      <c r="E53" s="175">
        <v>0</v>
      </c>
      <c r="F53" s="175">
        <v>9389071.6500000004</v>
      </c>
      <c r="G53" s="175">
        <v>0</v>
      </c>
      <c r="H53" s="175">
        <v>82792558.750000015</v>
      </c>
    </row>
    <row r="54" spans="1:8">
      <c r="A54" s="174" t="s">
        <v>227</v>
      </c>
      <c r="B54" s="174" t="s">
        <v>228</v>
      </c>
      <c r="C54" s="175">
        <v>0</v>
      </c>
      <c r="D54" s="175">
        <v>57237576</v>
      </c>
      <c r="E54" s="175">
        <v>1707100946</v>
      </c>
      <c r="F54" s="175">
        <v>1649863370</v>
      </c>
      <c r="G54" s="175">
        <v>0</v>
      </c>
      <c r="H54" s="175">
        <v>0</v>
      </c>
    </row>
    <row r="55" spans="1:8">
      <c r="A55" s="174" t="s">
        <v>222</v>
      </c>
      <c r="B55" s="174" t="s">
        <v>223</v>
      </c>
      <c r="C55" s="175">
        <v>0</v>
      </c>
      <c r="D55" s="175">
        <v>0</v>
      </c>
      <c r="E55" s="175">
        <v>7938807156</v>
      </c>
      <c r="F55" s="175">
        <v>8694772795</v>
      </c>
      <c r="G55" s="175">
        <v>0</v>
      </c>
      <c r="H55" s="175">
        <v>755965639</v>
      </c>
    </row>
    <row r="56" spans="1:8">
      <c r="A56" s="174" t="s">
        <v>224</v>
      </c>
      <c r="B56" s="174" t="s">
        <v>225</v>
      </c>
      <c r="C56" s="175">
        <v>0</v>
      </c>
      <c r="D56" s="175">
        <v>55650947823</v>
      </c>
      <c r="E56" s="175">
        <v>53729764770</v>
      </c>
      <c r="F56" s="175">
        <v>29289650887</v>
      </c>
      <c r="G56" s="175">
        <v>0</v>
      </c>
      <c r="H56" s="175">
        <v>31210833940</v>
      </c>
    </row>
    <row r="57" spans="1:8">
      <c r="A57" s="174" t="s">
        <v>290</v>
      </c>
      <c r="B57" s="174" t="s">
        <v>291</v>
      </c>
      <c r="C57" s="175">
        <v>0</v>
      </c>
      <c r="D57" s="175">
        <v>0</v>
      </c>
      <c r="E57" s="175">
        <v>0</v>
      </c>
      <c r="F57" s="175">
        <v>0</v>
      </c>
      <c r="G57" s="175">
        <v>0</v>
      </c>
      <c r="H57" s="175">
        <v>0</v>
      </c>
    </row>
    <row r="58" spans="1:8">
      <c r="A58" s="174" t="s">
        <v>220</v>
      </c>
      <c r="B58" s="174" t="s">
        <v>221</v>
      </c>
      <c r="C58" s="175">
        <v>0</v>
      </c>
      <c r="D58" s="175">
        <v>25194647.999986574</v>
      </c>
      <c r="E58" s="175">
        <v>25194648</v>
      </c>
      <c r="F58" s="175">
        <v>0</v>
      </c>
      <c r="G58" s="175">
        <v>1.3427734375E-5</v>
      </c>
      <c r="H58" s="175">
        <v>0</v>
      </c>
    </row>
    <row r="59" spans="1:8">
      <c r="A59" s="174" t="s">
        <v>230</v>
      </c>
      <c r="B59" s="174" t="s">
        <v>231</v>
      </c>
      <c r="C59" s="175">
        <v>0</v>
      </c>
      <c r="D59" s="175">
        <v>1455561594.02</v>
      </c>
      <c r="E59" s="175">
        <v>1455561594.02</v>
      </c>
      <c r="F59" s="175">
        <v>217820061.22</v>
      </c>
      <c r="G59" s="175">
        <v>0</v>
      </c>
      <c r="H59" s="175">
        <v>217820061.22</v>
      </c>
    </row>
    <row r="60" spans="1:8">
      <c r="A60" s="174" t="s">
        <v>233</v>
      </c>
      <c r="B60" s="174" t="s">
        <v>292</v>
      </c>
      <c r="C60" s="175">
        <v>9.5367431640625E-7</v>
      </c>
      <c r="D60" s="175">
        <v>0</v>
      </c>
      <c r="E60" s="175">
        <v>12588800</v>
      </c>
      <c r="F60" s="175">
        <v>14704400</v>
      </c>
      <c r="G60" s="175">
        <v>0</v>
      </c>
      <c r="H60" s="175">
        <v>2115599.9999990463</v>
      </c>
    </row>
    <row r="61" spans="1:8">
      <c r="A61" s="174" t="s">
        <v>235</v>
      </c>
      <c r="B61" s="174" t="s">
        <v>236</v>
      </c>
      <c r="C61" s="175">
        <v>0</v>
      </c>
      <c r="D61" s="175">
        <v>139738471.31999999</v>
      </c>
      <c r="E61" s="175">
        <v>139738471.31999999</v>
      </c>
      <c r="F61" s="175">
        <v>0</v>
      </c>
      <c r="G61" s="175">
        <v>0</v>
      </c>
      <c r="H61" s="175">
        <v>0</v>
      </c>
    </row>
    <row r="62" spans="1:8">
      <c r="A62" s="174" t="s">
        <v>237</v>
      </c>
      <c r="B62" s="174" t="s">
        <v>238</v>
      </c>
      <c r="C62" s="175">
        <v>0</v>
      </c>
      <c r="D62" s="175">
        <v>31417799.889999986</v>
      </c>
      <c r="E62" s="175">
        <v>78564183</v>
      </c>
      <c r="F62" s="175">
        <v>68678654</v>
      </c>
      <c r="G62" s="175">
        <v>0</v>
      </c>
      <c r="H62" s="175">
        <v>21532270.889999982</v>
      </c>
    </row>
    <row r="63" spans="1:8">
      <c r="A63" s="174" t="s">
        <v>250</v>
      </c>
      <c r="B63" s="174" t="s">
        <v>251</v>
      </c>
      <c r="C63" s="175">
        <v>0</v>
      </c>
      <c r="D63" s="175">
        <v>129098980.00000001</v>
      </c>
      <c r="E63" s="175">
        <v>114773564.97999997</v>
      </c>
      <c r="F63" s="175">
        <v>137993478.84</v>
      </c>
      <c r="G63" s="175">
        <v>0</v>
      </c>
      <c r="H63" s="175">
        <v>152318893.86000001</v>
      </c>
    </row>
    <row r="64" spans="1:8">
      <c r="A64" s="174" t="s">
        <v>240</v>
      </c>
      <c r="B64" s="174" t="s">
        <v>241</v>
      </c>
      <c r="C64" s="175">
        <v>0</v>
      </c>
      <c r="D64" s="175">
        <v>21286512</v>
      </c>
      <c r="E64" s="175">
        <v>63552313.5</v>
      </c>
      <c r="F64" s="175">
        <v>62924511</v>
      </c>
      <c r="G64" s="175">
        <v>0</v>
      </c>
      <c r="H64" s="175">
        <v>20658709.5</v>
      </c>
    </row>
    <row r="65" spans="1:9">
      <c r="A65" s="174" t="s">
        <v>244</v>
      </c>
      <c r="B65" s="174" t="s">
        <v>245</v>
      </c>
      <c r="C65" s="175">
        <v>0</v>
      </c>
      <c r="D65" s="175">
        <v>2581632</v>
      </c>
      <c r="E65" s="175">
        <v>7707636</v>
      </c>
      <c r="F65" s="175">
        <v>7631496</v>
      </c>
      <c r="G65" s="175">
        <v>0</v>
      </c>
      <c r="H65" s="175">
        <v>2505492</v>
      </c>
    </row>
    <row r="66" spans="1:9">
      <c r="A66" s="174" t="s">
        <v>248</v>
      </c>
      <c r="B66" s="174" t="s">
        <v>249</v>
      </c>
      <c r="C66" s="175">
        <v>0</v>
      </c>
      <c r="D66" s="175">
        <v>375453039.99999994</v>
      </c>
      <c r="E66" s="175">
        <v>12582736</v>
      </c>
      <c r="F66" s="175">
        <v>179428223.65000001</v>
      </c>
      <c r="G66" s="175">
        <v>0</v>
      </c>
      <c r="H66" s="175">
        <v>542298527.64999998</v>
      </c>
    </row>
    <row r="67" spans="1:9">
      <c r="A67" s="174" t="s">
        <v>252</v>
      </c>
      <c r="B67" s="174" t="s">
        <v>253</v>
      </c>
      <c r="C67" s="175">
        <v>0</v>
      </c>
      <c r="D67" s="175">
        <v>0</v>
      </c>
      <c r="E67" s="175">
        <v>0</v>
      </c>
      <c r="F67" s="175">
        <v>0</v>
      </c>
      <c r="G67" s="175">
        <v>0</v>
      </c>
      <c r="H67" s="175">
        <v>0</v>
      </c>
    </row>
    <row r="68" spans="1:9">
      <c r="A68" s="174" t="s">
        <v>242</v>
      </c>
      <c r="B68" s="174" t="s">
        <v>243</v>
      </c>
      <c r="C68" s="175">
        <v>0</v>
      </c>
      <c r="D68" s="175">
        <v>7239040</v>
      </c>
      <c r="E68" s="175">
        <v>21712860</v>
      </c>
      <c r="F68" s="175">
        <v>21705810</v>
      </c>
      <c r="G68" s="175">
        <v>0</v>
      </c>
      <c r="H68" s="175">
        <v>7231990</v>
      </c>
    </row>
    <row r="69" spans="1:9">
      <c r="A69" s="174" t="s">
        <v>246</v>
      </c>
      <c r="B69" s="174" t="s">
        <v>247</v>
      </c>
      <c r="C69" s="175">
        <v>0</v>
      </c>
      <c r="D69" s="175">
        <v>290706739.69000047</v>
      </c>
      <c r="E69" s="175">
        <v>0</v>
      </c>
      <c r="F69" s="175">
        <v>0</v>
      </c>
      <c r="G69" s="175">
        <v>0</v>
      </c>
      <c r="H69" s="175">
        <v>290706739.69000047</v>
      </c>
    </row>
    <row r="70" spans="1:9">
      <c r="A70" s="174" t="s">
        <v>293</v>
      </c>
      <c r="B70" s="174" t="s">
        <v>294</v>
      </c>
      <c r="C70" s="175">
        <v>0</v>
      </c>
      <c r="D70" s="175">
        <v>0</v>
      </c>
      <c r="E70" s="175">
        <v>0</v>
      </c>
      <c r="F70" s="175">
        <v>0</v>
      </c>
      <c r="G70" s="175">
        <v>0</v>
      </c>
      <c r="H70" s="175">
        <v>0</v>
      </c>
    </row>
    <row r="71" spans="1:9">
      <c r="A71" s="174" t="s">
        <v>254</v>
      </c>
      <c r="B71" s="174" t="s">
        <v>255</v>
      </c>
      <c r="C71" s="175">
        <v>0</v>
      </c>
      <c r="D71" s="175">
        <v>27040033.18</v>
      </c>
      <c r="E71" s="175">
        <v>27040033.18</v>
      </c>
      <c r="F71" s="175">
        <v>0</v>
      </c>
      <c r="G71" s="175">
        <v>0</v>
      </c>
      <c r="H71" s="175">
        <v>0</v>
      </c>
    </row>
    <row r="72" spans="1:9">
      <c r="A72" s="174" t="s">
        <v>257</v>
      </c>
      <c r="B72" s="174" t="s">
        <v>258</v>
      </c>
      <c r="C72" s="175">
        <v>0</v>
      </c>
      <c r="D72" s="175">
        <v>100000000000</v>
      </c>
      <c r="E72" s="175">
        <v>0</v>
      </c>
      <c r="F72" s="175">
        <v>0</v>
      </c>
      <c r="G72" s="175">
        <v>0</v>
      </c>
      <c r="H72" s="175">
        <v>100000000000</v>
      </c>
    </row>
    <row r="73" spans="1:9">
      <c r="A73" s="174" t="s">
        <v>260</v>
      </c>
      <c r="B73" s="174" t="s">
        <v>261</v>
      </c>
      <c r="C73" s="175">
        <v>0</v>
      </c>
      <c r="D73" s="175">
        <v>191823715.77000001</v>
      </c>
      <c r="E73" s="175">
        <v>0</v>
      </c>
      <c r="F73" s="175">
        <v>0</v>
      </c>
      <c r="G73" s="175">
        <v>0</v>
      </c>
      <c r="H73" s="175">
        <v>191823715.77000001</v>
      </c>
    </row>
    <row r="74" spans="1:9">
      <c r="A74" s="174" t="s">
        <v>263</v>
      </c>
      <c r="B74" s="174" t="s">
        <v>264</v>
      </c>
      <c r="C74" s="175">
        <v>0</v>
      </c>
      <c r="D74" s="175">
        <v>3764215550.0900002</v>
      </c>
      <c r="E74" s="175">
        <v>3764215550.0900002</v>
      </c>
      <c r="F74" s="175">
        <v>0</v>
      </c>
      <c r="G74" s="175">
        <v>0</v>
      </c>
      <c r="H74" s="175">
        <v>0</v>
      </c>
    </row>
    <row r="75" spans="1:9">
      <c r="A75" s="174" t="s">
        <v>627</v>
      </c>
      <c r="B75" s="174" t="s">
        <v>628</v>
      </c>
      <c r="C75" s="175">
        <v>0</v>
      </c>
      <c r="D75" s="175">
        <v>0</v>
      </c>
      <c r="E75" s="175">
        <v>0</v>
      </c>
      <c r="F75" s="175">
        <v>3799879255.0900002</v>
      </c>
      <c r="G75" s="175">
        <v>0</v>
      </c>
      <c r="H75" s="175">
        <v>3799879255.0900002</v>
      </c>
    </row>
    <row r="76" spans="1:9" s="176" customFormat="1" ht="12.75">
      <c r="C76" s="177">
        <f t="shared" ref="C76:H76" si="0">SUM(C5:C75)</f>
        <v>162985274009.54001</v>
      </c>
      <c r="D76" s="177">
        <f t="shared" si="0"/>
        <v>162985274009.53998</v>
      </c>
      <c r="E76" s="177">
        <f t="shared" si="0"/>
        <v>123515565277.50999</v>
      </c>
      <c r="F76" s="177">
        <f t="shared" si="0"/>
        <v>122886426684.46001</v>
      </c>
      <c r="G76" s="177">
        <f t="shared" si="0"/>
        <v>138766326745.36002</v>
      </c>
      <c r="H76" s="177">
        <f t="shared" si="0"/>
        <v>138137188152.31003</v>
      </c>
    </row>
    <row r="77" spans="1:9">
      <c r="A77" s="174"/>
      <c r="B77" s="174"/>
      <c r="C77" s="175"/>
      <c r="D77" s="175">
        <f>+D76-C76</f>
        <v>0</v>
      </c>
      <c r="E77" s="175"/>
      <c r="F77" s="175">
        <f>+F76-E76</f>
        <v>-629138593.04998779</v>
      </c>
      <c r="G77" s="175"/>
      <c r="H77" s="175">
        <f>+H76-G76</f>
        <v>-629138593.04998779</v>
      </c>
    </row>
    <row r="78" spans="1:9">
      <c r="A78" s="174"/>
      <c r="B78" s="174"/>
      <c r="C78" s="175"/>
      <c r="D78" s="175"/>
      <c r="E78" s="175"/>
      <c r="F78" s="175"/>
      <c r="G78" s="175"/>
      <c r="H78" s="175">
        <f>+H77-F77</f>
        <v>0</v>
      </c>
      <c r="I78" s="103" t="s">
        <v>613</v>
      </c>
    </row>
    <row r="79" spans="1:9">
      <c r="A79" s="174"/>
      <c r="B79" s="174"/>
      <c r="C79" s="175"/>
      <c r="D79" s="175"/>
      <c r="E79" s="175"/>
      <c r="F79" s="175"/>
      <c r="G79" s="175"/>
      <c r="H79" s="175"/>
    </row>
    <row r="80" spans="1:9">
      <c r="A80" s="174"/>
      <c r="B80" s="174"/>
      <c r="C80" s="175"/>
      <c r="D80" s="175"/>
      <c r="E80" s="175"/>
      <c r="F80" s="175"/>
      <c r="G80" s="175"/>
      <c r="H80" s="175"/>
    </row>
    <row r="81" spans="1:8">
      <c r="A81" s="174"/>
      <c r="B81" s="174"/>
      <c r="C81" s="175"/>
      <c r="D81" s="175"/>
      <c r="E81" s="175"/>
      <c r="F81" s="175"/>
      <c r="G81" s="175"/>
      <c r="H81" s="175"/>
    </row>
    <row r="82" spans="1:8">
      <c r="A82" s="174"/>
      <c r="B82" s="174"/>
      <c r="C82" s="175"/>
      <c r="D82" s="175"/>
      <c r="E82" s="175"/>
      <c r="F82" s="175"/>
      <c r="G82" s="175"/>
      <c r="H82" s="175"/>
    </row>
    <row r="83" spans="1:8">
      <c r="A83" s="174"/>
      <c r="B83" s="174"/>
      <c r="C83" s="448" t="s">
        <v>626</v>
      </c>
      <c r="D83" s="449"/>
      <c r="E83" s="448" t="s">
        <v>531</v>
      </c>
      <c r="F83" s="448"/>
      <c r="G83" s="448" t="s">
        <v>532</v>
      </c>
      <c r="H83" s="449"/>
    </row>
    <row r="84" spans="1:8">
      <c r="A84" s="174"/>
      <c r="B84" s="174"/>
      <c r="C84" s="181" t="s">
        <v>272</v>
      </c>
      <c r="D84" s="181" t="s">
        <v>273</v>
      </c>
      <c r="E84" s="181" t="s">
        <v>272</v>
      </c>
      <c r="F84" s="181" t="s">
        <v>273</v>
      </c>
      <c r="G84" s="181" t="s">
        <v>272</v>
      </c>
      <c r="H84" s="181" t="s">
        <v>273</v>
      </c>
    </row>
    <row r="85" spans="1:8">
      <c r="A85" s="174" t="s">
        <v>297</v>
      </c>
      <c r="B85" s="174" t="s">
        <v>298</v>
      </c>
      <c r="C85" s="175">
        <v>0</v>
      </c>
      <c r="D85" s="175">
        <v>0</v>
      </c>
      <c r="E85" s="175">
        <v>62852380.5</v>
      </c>
      <c r="F85" s="175">
        <v>0</v>
      </c>
      <c r="G85" s="175">
        <v>62852380.5</v>
      </c>
      <c r="H85" s="175">
        <v>0</v>
      </c>
    </row>
    <row r="86" spans="1:8">
      <c r="A86" s="174" t="s">
        <v>299</v>
      </c>
      <c r="B86" s="174" t="s">
        <v>300</v>
      </c>
      <c r="C86" s="175">
        <v>0</v>
      </c>
      <c r="D86" s="175">
        <v>0</v>
      </c>
      <c r="E86" s="175">
        <v>7622748</v>
      </c>
      <c r="F86" s="175">
        <v>0</v>
      </c>
      <c r="G86" s="175">
        <v>7622748</v>
      </c>
      <c r="H86" s="175">
        <v>0</v>
      </c>
    </row>
    <row r="87" spans="1:8">
      <c r="A87" s="174" t="s">
        <v>301</v>
      </c>
      <c r="B87" s="174" t="s">
        <v>302</v>
      </c>
      <c r="C87" s="175">
        <v>0</v>
      </c>
      <c r="D87" s="175">
        <v>0</v>
      </c>
      <c r="E87" s="175">
        <v>811997.42</v>
      </c>
      <c r="F87" s="175">
        <v>0</v>
      </c>
      <c r="G87" s="175">
        <v>811997.42</v>
      </c>
      <c r="H87" s="175">
        <v>0</v>
      </c>
    </row>
    <row r="88" spans="1:8">
      <c r="A88" s="174" t="s">
        <v>303</v>
      </c>
      <c r="B88" s="174" t="s">
        <v>304</v>
      </c>
      <c r="C88" s="175">
        <v>0</v>
      </c>
      <c r="D88" s="175">
        <v>0</v>
      </c>
      <c r="E88" s="175">
        <v>472059677</v>
      </c>
      <c r="F88" s="175">
        <v>0</v>
      </c>
      <c r="G88" s="175">
        <v>472059677</v>
      </c>
      <c r="H88" s="175">
        <v>0</v>
      </c>
    </row>
    <row r="89" spans="1:8">
      <c r="A89" s="174" t="s">
        <v>307</v>
      </c>
      <c r="B89" s="174" t="s">
        <v>308</v>
      </c>
      <c r="C89" s="175">
        <v>0</v>
      </c>
      <c r="D89" s="175">
        <v>0</v>
      </c>
      <c r="E89" s="175">
        <v>50823417</v>
      </c>
      <c r="F89" s="175">
        <v>0</v>
      </c>
      <c r="G89" s="175">
        <v>50823417</v>
      </c>
      <c r="H89" s="175">
        <v>0</v>
      </c>
    </row>
    <row r="90" spans="1:8">
      <c r="A90" s="174" t="s">
        <v>311</v>
      </c>
      <c r="B90" s="174" t="s">
        <v>312</v>
      </c>
      <c r="C90" s="175">
        <v>0</v>
      </c>
      <c r="D90" s="175">
        <v>0</v>
      </c>
      <c r="E90" s="175">
        <v>30098656.190000001</v>
      </c>
      <c r="F90" s="175">
        <v>0</v>
      </c>
      <c r="G90" s="175">
        <v>30098656.190000001</v>
      </c>
      <c r="H90" s="175">
        <v>0</v>
      </c>
    </row>
    <row r="91" spans="1:8">
      <c r="A91" s="174" t="s">
        <v>313</v>
      </c>
      <c r="B91" s="174" t="s">
        <v>314</v>
      </c>
      <c r="C91" s="175">
        <v>0</v>
      </c>
      <c r="D91" s="175">
        <v>0</v>
      </c>
      <c r="E91" s="175">
        <v>500000</v>
      </c>
      <c r="F91" s="175">
        <v>0</v>
      </c>
      <c r="G91" s="175">
        <v>500000</v>
      </c>
      <c r="H91" s="175">
        <v>0</v>
      </c>
    </row>
    <row r="92" spans="1:8">
      <c r="A92" s="174" t="s">
        <v>315</v>
      </c>
      <c r="B92" s="174" t="s">
        <v>316</v>
      </c>
      <c r="C92" s="175">
        <v>0</v>
      </c>
      <c r="D92" s="175">
        <v>0</v>
      </c>
      <c r="E92" s="175">
        <v>50883871</v>
      </c>
      <c r="F92" s="175">
        <v>0</v>
      </c>
      <c r="G92" s="175">
        <v>50883871</v>
      </c>
      <c r="H92" s="175">
        <v>0</v>
      </c>
    </row>
    <row r="93" spans="1:8">
      <c r="A93" s="174" t="s">
        <v>317</v>
      </c>
      <c r="B93" s="174" t="s">
        <v>318</v>
      </c>
      <c r="C93" s="175">
        <v>0</v>
      </c>
      <c r="D93" s="175">
        <v>0</v>
      </c>
      <c r="E93" s="175">
        <v>20800000</v>
      </c>
      <c r="F93" s="175">
        <v>0</v>
      </c>
      <c r="G93" s="175">
        <v>20800000</v>
      </c>
      <c r="H93" s="175">
        <v>0</v>
      </c>
    </row>
    <row r="94" spans="1:8">
      <c r="A94" s="174" t="s">
        <v>319</v>
      </c>
      <c r="B94" s="174" t="s">
        <v>320</v>
      </c>
      <c r="C94" s="175">
        <v>0</v>
      </c>
      <c r="D94" s="175">
        <v>0</v>
      </c>
      <c r="E94" s="175">
        <v>10736842</v>
      </c>
      <c r="F94" s="175">
        <v>0</v>
      </c>
      <c r="G94" s="175">
        <v>10736842</v>
      </c>
      <c r="H94" s="175">
        <v>0</v>
      </c>
    </row>
    <row r="95" spans="1:8">
      <c r="A95" s="174" t="s">
        <v>321</v>
      </c>
      <c r="B95" s="174" t="s">
        <v>322</v>
      </c>
      <c r="C95" s="175">
        <v>0</v>
      </c>
      <c r="D95" s="175">
        <v>0</v>
      </c>
      <c r="E95" s="175">
        <v>16506000</v>
      </c>
      <c r="F95" s="175">
        <v>0</v>
      </c>
      <c r="G95" s="175">
        <v>16506000</v>
      </c>
      <c r="H95" s="175">
        <v>0</v>
      </c>
    </row>
    <row r="96" spans="1:8">
      <c r="A96" s="174" t="s">
        <v>327</v>
      </c>
      <c r="B96" s="174" t="s">
        <v>328</v>
      </c>
      <c r="C96" s="175">
        <v>0</v>
      </c>
      <c r="D96" s="175">
        <v>0</v>
      </c>
      <c r="E96" s="175">
        <v>800000</v>
      </c>
      <c r="F96" s="175">
        <v>0</v>
      </c>
      <c r="G96" s="175">
        <v>800000</v>
      </c>
      <c r="H96" s="175">
        <v>0</v>
      </c>
    </row>
    <row r="97" spans="1:8">
      <c r="A97" s="174" t="s">
        <v>329</v>
      </c>
      <c r="B97" s="174" t="s">
        <v>330</v>
      </c>
      <c r="C97" s="175">
        <v>0</v>
      </c>
      <c r="D97" s="175">
        <v>0</v>
      </c>
      <c r="E97" s="175">
        <v>4087400</v>
      </c>
      <c r="F97" s="175">
        <v>0</v>
      </c>
      <c r="G97" s="175">
        <v>4087400</v>
      </c>
      <c r="H97" s="175">
        <v>0</v>
      </c>
    </row>
    <row r="98" spans="1:8">
      <c r="A98" s="174" t="s">
        <v>331</v>
      </c>
      <c r="B98" s="174" t="s">
        <v>332</v>
      </c>
      <c r="C98" s="175">
        <v>0</v>
      </c>
      <c r="D98" s="175">
        <v>0</v>
      </c>
      <c r="E98" s="175">
        <v>6672000</v>
      </c>
      <c r="F98" s="175">
        <v>0</v>
      </c>
      <c r="G98" s="175">
        <v>6672000</v>
      </c>
      <c r="H98" s="175">
        <v>0</v>
      </c>
    </row>
    <row r="99" spans="1:8">
      <c r="A99" s="174" t="s">
        <v>333</v>
      </c>
      <c r="B99" s="174" t="s">
        <v>334</v>
      </c>
      <c r="C99" s="175">
        <v>0</v>
      </c>
      <c r="D99" s="175">
        <v>0</v>
      </c>
      <c r="E99" s="175">
        <v>9000000</v>
      </c>
      <c r="F99" s="175">
        <v>0</v>
      </c>
      <c r="G99" s="175">
        <v>9000000</v>
      </c>
      <c r="H99" s="175">
        <v>0</v>
      </c>
    </row>
    <row r="100" spans="1:8">
      <c r="A100" s="174" t="s">
        <v>341</v>
      </c>
      <c r="B100" s="174" t="s">
        <v>342</v>
      </c>
      <c r="C100" s="175">
        <v>0</v>
      </c>
      <c r="D100" s="175">
        <v>0</v>
      </c>
      <c r="E100" s="175">
        <v>119419879.53000002</v>
      </c>
      <c r="F100" s="175">
        <v>0</v>
      </c>
      <c r="G100" s="175">
        <v>119419879.53000002</v>
      </c>
      <c r="H100" s="175">
        <v>0</v>
      </c>
    </row>
    <row r="101" spans="1:8">
      <c r="A101" s="174" t="s">
        <v>343</v>
      </c>
      <c r="B101" s="174" t="s">
        <v>344</v>
      </c>
      <c r="C101" s="175">
        <v>0</v>
      </c>
      <c r="D101" s="175">
        <v>0</v>
      </c>
      <c r="E101" s="175">
        <v>69000</v>
      </c>
      <c r="F101" s="175">
        <v>0</v>
      </c>
      <c r="G101" s="175">
        <v>69000</v>
      </c>
      <c r="H101" s="175">
        <v>0</v>
      </c>
    </row>
    <row r="102" spans="1:8">
      <c r="A102" s="174" t="s">
        <v>345</v>
      </c>
      <c r="B102" s="174" t="s">
        <v>346</v>
      </c>
      <c r="C102" s="175">
        <v>0</v>
      </c>
      <c r="D102" s="175">
        <v>0</v>
      </c>
      <c r="E102" s="175">
        <v>1531780</v>
      </c>
      <c r="F102" s="175">
        <v>0</v>
      </c>
      <c r="G102" s="175">
        <v>1531780</v>
      </c>
      <c r="H102" s="175">
        <v>0</v>
      </c>
    </row>
    <row r="103" spans="1:8">
      <c r="A103" s="174" t="s">
        <v>347</v>
      </c>
      <c r="B103" s="174" t="s">
        <v>348</v>
      </c>
      <c r="C103" s="175">
        <v>0</v>
      </c>
      <c r="D103" s="175">
        <v>0</v>
      </c>
      <c r="E103" s="175">
        <v>940000</v>
      </c>
      <c r="F103" s="175">
        <v>0</v>
      </c>
      <c r="G103" s="175">
        <v>940000</v>
      </c>
      <c r="H103" s="175">
        <v>0</v>
      </c>
    </row>
    <row r="104" spans="1:8">
      <c r="A104" s="174" t="s">
        <v>349</v>
      </c>
      <c r="B104" s="174" t="s">
        <v>350</v>
      </c>
      <c r="C104" s="175">
        <v>0</v>
      </c>
      <c r="D104" s="175">
        <v>0</v>
      </c>
      <c r="E104" s="175">
        <v>79910472.730000004</v>
      </c>
      <c r="F104" s="175">
        <v>0</v>
      </c>
      <c r="G104" s="175">
        <v>79910472.730000004</v>
      </c>
      <c r="H104" s="175">
        <v>0</v>
      </c>
    </row>
    <row r="105" spans="1:8">
      <c r="A105" s="174" t="s">
        <v>351</v>
      </c>
      <c r="B105" s="174" t="s">
        <v>352</v>
      </c>
      <c r="C105" s="175">
        <v>0</v>
      </c>
      <c r="D105" s="175">
        <v>0</v>
      </c>
      <c r="E105" s="175">
        <v>53273640.149999999</v>
      </c>
      <c r="F105" s="175">
        <v>0</v>
      </c>
      <c r="G105" s="175">
        <v>53273640.149999999</v>
      </c>
      <c r="H105" s="175">
        <v>0</v>
      </c>
    </row>
    <row r="106" spans="1:8">
      <c r="A106" s="174" t="s">
        <v>353</v>
      </c>
      <c r="B106" s="174" t="s">
        <v>354</v>
      </c>
      <c r="C106" s="175">
        <v>0</v>
      </c>
      <c r="D106" s="175">
        <v>0</v>
      </c>
      <c r="E106" s="175">
        <v>55273640.149999999</v>
      </c>
      <c r="F106" s="175">
        <v>0</v>
      </c>
      <c r="G106" s="175">
        <v>55273640.149999999</v>
      </c>
      <c r="H106" s="175">
        <v>0</v>
      </c>
    </row>
    <row r="107" spans="1:8">
      <c r="A107" s="174" t="s">
        <v>355</v>
      </c>
      <c r="B107" s="174" t="s">
        <v>356</v>
      </c>
      <c r="C107" s="175">
        <v>0</v>
      </c>
      <c r="D107" s="175">
        <v>0</v>
      </c>
      <c r="E107" s="175">
        <v>91759066</v>
      </c>
      <c r="F107" s="175">
        <v>91759066</v>
      </c>
      <c r="G107" s="175">
        <v>0</v>
      </c>
      <c r="H107" s="175">
        <v>0</v>
      </c>
    </row>
    <row r="108" spans="1:8">
      <c r="A108" s="174" t="s">
        <v>357</v>
      </c>
      <c r="B108" s="174" t="s">
        <v>358</v>
      </c>
      <c r="C108" s="175">
        <v>0</v>
      </c>
      <c r="D108" s="175">
        <v>0</v>
      </c>
      <c r="E108" s="175">
        <v>106547308.29000001</v>
      </c>
      <c r="F108" s="175">
        <v>0</v>
      </c>
      <c r="G108" s="175">
        <v>106547308.29000001</v>
      </c>
      <c r="H108" s="175">
        <v>0</v>
      </c>
    </row>
    <row r="109" spans="1:8">
      <c r="A109" s="174" t="s">
        <v>361</v>
      </c>
      <c r="B109" s="174" t="s">
        <v>362</v>
      </c>
      <c r="C109" s="175">
        <v>0</v>
      </c>
      <c r="D109" s="175">
        <v>0</v>
      </c>
      <c r="E109" s="175">
        <v>26354575.649999999</v>
      </c>
      <c r="F109" s="175">
        <v>0</v>
      </c>
      <c r="G109" s="175">
        <v>26354575.649999999</v>
      </c>
      <c r="H109" s="175">
        <v>0</v>
      </c>
    </row>
    <row r="110" spans="1:8">
      <c r="A110" s="174" t="s">
        <v>363</v>
      </c>
      <c r="B110" s="174" t="s">
        <v>364</v>
      </c>
      <c r="C110" s="175">
        <v>0</v>
      </c>
      <c r="D110" s="175">
        <v>0</v>
      </c>
      <c r="E110" s="175">
        <v>15599500</v>
      </c>
      <c r="F110" s="175">
        <v>0</v>
      </c>
      <c r="G110" s="175">
        <v>15599500</v>
      </c>
      <c r="H110" s="175">
        <v>0</v>
      </c>
    </row>
    <row r="111" spans="1:8">
      <c r="A111" s="174" t="s">
        <v>365</v>
      </c>
      <c r="B111" s="174" t="s">
        <v>366</v>
      </c>
      <c r="C111" s="175">
        <v>0</v>
      </c>
      <c r="D111" s="175">
        <v>0</v>
      </c>
      <c r="E111" s="175">
        <v>10351880</v>
      </c>
      <c r="F111" s="175">
        <v>0</v>
      </c>
      <c r="G111" s="175">
        <v>10351880</v>
      </c>
      <c r="H111" s="175">
        <v>0</v>
      </c>
    </row>
    <row r="112" spans="1:8">
      <c r="A112" s="174" t="s">
        <v>367</v>
      </c>
      <c r="B112" s="174" t="s">
        <v>368</v>
      </c>
      <c r="C112" s="175">
        <v>0</v>
      </c>
      <c r="D112" s="175">
        <v>0</v>
      </c>
      <c r="E112" s="175">
        <v>6000000</v>
      </c>
      <c r="F112" s="175">
        <v>0</v>
      </c>
      <c r="G112" s="175">
        <v>6000000</v>
      </c>
      <c r="H112" s="175">
        <v>0</v>
      </c>
    </row>
    <row r="113" spans="1:8">
      <c r="A113" s="174" t="s">
        <v>369</v>
      </c>
      <c r="B113" s="174" t="s">
        <v>370</v>
      </c>
      <c r="C113" s="175">
        <v>0</v>
      </c>
      <c r="D113" s="175">
        <v>0</v>
      </c>
      <c r="E113" s="175">
        <v>169394400</v>
      </c>
      <c r="F113" s="175">
        <v>0</v>
      </c>
      <c r="G113" s="175">
        <v>169394400</v>
      </c>
      <c r="H113" s="175">
        <v>0</v>
      </c>
    </row>
    <row r="114" spans="1:8">
      <c r="A114" s="174" t="s">
        <v>375</v>
      </c>
      <c r="B114" s="174" t="s">
        <v>376</v>
      </c>
      <c r="C114" s="175">
        <v>0</v>
      </c>
      <c r="D114" s="175">
        <v>0</v>
      </c>
      <c r="E114" s="175">
        <v>13595000</v>
      </c>
      <c r="F114" s="175">
        <v>1000000</v>
      </c>
      <c r="G114" s="175">
        <v>12595000</v>
      </c>
      <c r="H114" s="175">
        <v>0</v>
      </c>
    </row>
    <row r="115" spans="1:8">
      <c r="A115" s="174" t="s">
        <v>377</v>
      </c>
      <c r="B115" s="174" t="s">
        <v>378</v>
      </c>
      <c r="C115" s="175">
        <v>0</v>
      </c>
      <c r="D115" s="175">
        <v>0</v>
      </c>
      <c r="E115" s="175">
        <v>18225000</v>
      </c>
      <c r="F115" s="175">
        <v>0</v>
      </c>
      <c r="G115" s="175">
        <v>18225000</v>
      </c>
      <c r="H115" s="175">
        <v>0</v>
      </c>
    </row>
    <row r="116" spans="1:8">
      <c r="A116" s="174" t="s">
        <v>379</v>
      </c>
      <c r="B116" s="174" t="s">
        <v>380</v>
      </c>
      <c r="C116" s="175">
        <v>0</v>
      </c>
      <c r="D116" s="175">
        <v>0</v>
      </c>
      <c r="E116" s="175">
        <v>2455200</v>
      </c>
      <c r="F116" s="175">
        <v>0</v>
      </c>
      <c r="G116" s="175">
        <v>2455200</v>
      </c>
      <c r="H116" s="175">
        <v>0</v>
      </c>
    </row>
    <row r="117" spans="1:8">
      <c r="A117" s="174" t="s">
        <v>381</v>
      </c>
      <c r="B117" s="174" t="s">
        <v>382</v>
      </c>
      <c r="C117" s="175">
        <v>0</v>
      </c>
      <c r="D117" s="175">
        <v>0</v>
      </c>
      <c r="E117" s="175">
        <v>70000</v>
      </c>
      <c r="F117" s="175">
        <v>0</v>
      </c>
      <c r="G117" s="175">
        <v>70000</v>
      </c>
      <c r="H117" s="175">
        <v>0</v>
      </c>
    </row>
    <row r="118" spans="1:8">
      <c r="A118" s="174" t="s">
        <v>383</v>
      </c>
      <c r="B118" s="174" t="s">
        <v>384</v>
      </c>
      <c r="C118" s="175">
        <v>0</v>
      </c>
      <c r="D118" s="175">
        <v>0</v>
      </c>
      <c r="E118" s="175">
        <v>1470000</v>
      </c>
      <c r="F118" s="175">
        <v>0</v>
      </c>
      <c r="G118" s="175">
        <v>1470000</v>
      </c>
      <c r="H118" s="175">
        <v>0</v>
      </c>
    </row>
    <row r="119" spans="1:8">
      <c r="A119" s="174" t="s">
        <v>385</v>
      </c>
      <c r="B119" s="174" t="s">
        <v>386</v>
      </c>
      <c r="C119" s="175">
        <v>0</v>
      </c>
      <c r="D119" s="175">
        <v>0</v>
      </c>
      <c r="E119" s="175">
        <v>4790400</v>
      </c>
      <c r="F119" s="175">
        <v>0</v>
      </c>
      <c r="G119" s="175">
        <v>4790400</v>
      </c>
      <c r="H119" s="175">
        <v>0</v>
      </c>
    </row>
    <row r="120" spans="1:8">
      <c r="A120" s="174" t="s">
        <v>387</v>
      </c>
      <c r="B120" s="174" t="s">
        <v>388</v>
      </c>
      <c r="C120" s="175">
        <v>0</v>
      </c>
      <c r="D120" s="175">
        <v>0</v>
      </c>
      <c r="E120" s="175">
        <v>1764960.81</v>
      </c>
      <c r="F120" s="175">
        <v>0</v>
      </c>
      <c r="G120" s="175">
        <v>1764960.81</v>
      </c>
      <c r="H120" s="175">
        <v>0</v>
      </c>
    </row>
    <row r="121" spans="1:8">
      <c r="A121" s="174" t="s">
        <v>629</v>
      </c>
      <c r="B121" s="174" t="s">
        <v>630</v>
      </c>
      <c r="C121" s="175">
        <v>0</v>
      </c>
      <c r="D121" s="175">
        <v>0</v>
      </c>
      <c r="E121" s="175">
        <v>397455</v>
      </c>
      <c r="F121" s="175">
        <v>0</v>
      </c>
      <c r="G121" s="175">
        <v>397455</v>
      </c>
      <c r="H121" s="175">
        <v>0</v>
      </c>
    </row>
    <row r="122" spans="1:8">
      <c r="A122" s="174" t="s">
        <v>389</v>
      </c>
      <c r="B122" s="174" t="s">
        <v>390</v>
      </c>
      <c r="C122" s="175">
        <v>0</v>
      </c>
      <c r="D122" s="175">
        <v>0</v>
      </c>
      <c r="E122" s="175">
        <v>26000.5</v>
      </c>
      <c r="F122" s="175">
        <v>0.82</v>
      </c>
      <c r="G122" s="175">
        <v>25999.68</v>
      </c>
      <c r="H122" s="175">
        <v>0</v>
      </c>
    </row>
    <row r="123" spans="1:8">
      <c r="A123" s="174" t="s">
        <v>391</v>
      </c>
      <c r="B123" s="174" t="s">
        <v>392</v>
      </c>
      <c r="C123" s="175">
        <v>0</v>
      </c>
      <c r="D123" s="175">
        <v>0</v>
      </c>
      <c r="E123" s="175">
        <v>10679000</v>
      </c>
      <c r="F123" s="175">
        <v>0</v>
      </c>
      <c r="G123" s="175">
        <v>10679000</v>
      </c>
      <c r="H123" s="175">
        <v>0</v>
      </c>
    </row>
    <row r="124" spans="1:8">
      <c r="A124" s="174" t="s">
        <v>393</v>
      </c>
      <c r="B124" s="174" t="s">
        <v>394</v>
      </c>
      <c r="C124" s="175">
        <v>0</v>
      </c>
      <c r="D124" s="175">
        <v>0</v>
      </c>
      <c r="E124" s="175">
        <v>10199500</v>
      </c>
      <c r="F124" s="175">
        <v>0</v>
      </c>
      <c r="G124" s="175">
        <v>10199500</v>
      </c>
      <c r="H124" s="175">
        <v>0</v>
      </c>
    </row>
    <row r="125" spans="1:8">
      <c r="A125" s="174" t="s">
        <v>395</v>
      </c>
      <c r="B125" s="174" t="s">
        <v>396</v>
      </c>
      <c r="C125" s="175">
        <v>0</v>
      </c>
      <c r="D125" s="175">
        <v>0</v>
      </c>
      <c r="E125" s="175">
        <v>5469610.4400000004</v>
      </c>
      <c r="F125" s="175">
        <v>0</v>
      </c>
      <c r="G125" s="175">
        <v>5469610.4400000004</v>
      </c>
      <c r="H125" s="175">
        <v>0</v>
      </c>
    </row>
    <row r="126" spans="1:8">
      <c r="A126" s="174" t="s">
        <v>397</v>
      </c>
      <c r="B126" s="174" t="s">
        <v>398</v>
      </c>
      <c r="C126" s="175">
        <v>0</v>
      </c>
      <c r="D126" s="175">
        <v>0</v>
      </c>
      <c r="E126" s="175">
        <v>880000</v>
      </c>
      <c r="F126" s="175">
        <v>0</v>
      </c>
      <c r="G126" s="175">
        <v>880000</v>
      </c>
      <c r="H126" s="175">
        <v>0</v>
      </c>
    </row>
    <row r="127" spans="1:8">
      <c r="A127" s="174" t="s">
        <v>401</v>
      </c>
      <c r="B127" s="174" t="s">
        <v>402</v>
      </c>
      <c r="C127" s="175">
        <v>0</v>
      </c>
      <c r="D127" s="175">
        <v>0</v>
      </c>
      <c r="E127" s="175">
        <v>14285002.739999998</v>
      </c>
      <c r="F127" s="175">
        <v>0</v>
      </c>
      <c r="G127" s="175">
        <v>14285002.739999998</v>
      </c>
      <c r="H127" s="175">
        <v>0</v>
      </c>
    </row>
    <row r="128" spans="1:8">
      <c r="A128" s="174" t="s">
        <v>403</v>
      </c>
      <c r="B128" s="174" t="s">
        <v>404</v>
      </c>
      <c r="C128" s="175">
        <v>0</v>
      </c>
      <c r="D128" s="175">
        <v>0</v>
      </c>
      <c r="E128" s="175">
        <v>577000</v>
      </c>
      <c r="F128" s="175">
        <v>0</v>
      </c>
      <c r="G128" s="175">
        <v>577000</v>
      </c>
      <c r="H128" s="175">
        <v>0</v>
      </c>
    </row>
    <row r="129" spans="1:8">
      <c r="A129" s="174" t="s">
        <v>405</v>
      </c>
      <c r="B129" s="174" t="s">
        <v>406</v>
      </c>
      <c r="C129" s="175">
        <v>0</v>
      </c>
      <c r="D129" s="175">
        <v>0</v>
      </c>
      <c r="E129" s="175">
        <v>7311245</v>
      </c>
      <c r="F129" s="175">
        <v>1675722</v>
      </c>
      <c r="G129" s="175">
        <v>5635523</v>
      </c>
      <c r="H129" s="175">
        <v>0</v>
      </c>
    </row>
    <row r="130" spans="1:8">
      <c r="A130" s="174" t="s">
        <v>407</v>
      </c>
      <c r="B130" s="174" t="s">
        <v>408</v>
      </c>
      <c r="C130" s="175">
        <v>0</v>
      </c>
      <c r="D130" s="175">
        <v>0</v>
      </c>
      <c r="E130" s="175">
        <v>10621479</v>
      </c>
      <c r="F130" s="175">
        <v>431382</v>
      </c>
      <c r="G130" s="175">
        <v>10190097</v>
      </c>
      <c r="H130" s="175">
        <v>0</v>
      </c>
    </row>
    <row r="131" spans="1:8">
      <c r="A131" s="174" t="s">
        <v>409</v>
      </c>
      <c r="B131" s="174" t="s">
        <v>410</v>
      </c>
      <c r="C131" s="175">
        <v>0</v>
      </c>
      <c r="D131" s="175">
        <v>0</v>
      </c>
      <c r="E131" s="175">
        <v>35930000</v>
      </c>
      <c r="F131" s="175">
        <v>0</v>
      </c>
      <c r="G131" s="175">
        <v>35930000</v>
      </c>
      <c r="H131" s="175">
        <v>0</v>
      </c>
    </row>
    <row r="132" spans="1:8">
      <c r="A132" s="174" t="s">
        <v>415</v>
      </c>
      <c r="B132" s="174" t="s">
        <v>416</v>
      </c>
      <c r="C132" s="175">
        <v>0</v>
      </c>
      <c r="D132" s="175">
        <v>0</v>
      </c>
      <c r="E132" s="175">
        <v>3181096</v>
      </c>
      <c r="F132" s="175">
        <v>0</v>
      </c>
      <c r="G132" s="175">
        <v>3181096</v>
      </c>
      <c r="H132" s="175">
        <v>0</v>
      </c>
    </row>
    <row r="133" spans="1:8">
      <c r="A133" s="174" t="s">
        <v>417</v>
      </c>
      <c r="B133" s="174" t="s">
        <v>418</v>
      </c>
      <c r="C133" s="175">
        <v>0</v>
      </c>
      <c r="D133" s="175">
        <v>0</v>
      </c>
      <c r="E133" s="175">
        <v>6744788</v>
      </c>
      <c r="F133" s="175">
        <v>0</v>
      </c>
      <c r="G133" s="175">
        <v>6744788</v>
      </c>
      <c r="H133" s="175">
        <v>0</v>
      </c>
    </row>
    <row r="134" spans="1:8">
      <c r="A134" s="174" t="s">
        <v>419</v>
      </c>
      <c r="B134" s="174" t="s">
        <v>420</v>
      </c>
      <c r="C134" s="175">
        <v>0</v>
      </c>
      <c r="D134" s="175">
        <v>0</v>
      </c>
      <c r="E134" s="175">
        <v>23103541</v>
      </c>
      <c r="F134" s="175">
        <v>2556060.7899999996</v>
      </c>
      <c r="G134" s="175">
        <v>20547480.210000001</v>
      </c>
      <c r="H134" s="175">
        <v>0</v>
      </c>
    </row>
    <row r="135" spans="1:8">
      <c r="A135" s="174" t="s">
        <v>423</v>
      </c>
      <c r="B135" s="174" t="s">
        <v>424</v>
      </c>
      <c r="C135" s="175">
        <v>0</v>
      </c>
      <c r="D135" s="175">
        <v>0</v>
      </c>
      <c r="E135" s="175">
        <v>320000</v>
      </c>
      <c r="F135" s="175">
        <v>0</v>
      </c>
      <c r="G135" s="175">
        <v>320000</v>
      </c>
      <c r="H135" s="175">
        <v>0</v>
      </c>
    </row>
    <row r="136" spans="1:8">
      <c r="A136" s="174" t="s">
        <v>427</v>
      </c>
      <c r="B136" s="174" t="s">
        <v>428</v>
      </c>
      <c r="C136" s="175">
        <v>0</v>
      </c>
      <c r="D136" s="175">
        <v>0</v>
      </c>
      <c r="E136" s="175">
        <v>1350000</v>
      </c>
      <c r="F136" s="175">
        <v>0</v>
      </c>
      <c r="G136" s="175">
        <v>1350000</v>
      </c>
      <c r="H136" s="175">
        <v>0</v>
      </c>
    </row>
    <row r="137" spans="1:8">
      <c r="A137" s="174" t="s">
        <v>429</v>
      </c>
      <c r="B137" s="174" t="s">
        <v>430</v>
      </c>
      <c r="C137" s="175">
        <v>0</v>
      </c>
      <c r="D137" s="175">
        <v>0</v>
      </c>
      <c r="E137" s="175">
        <v>19561400</v>
      </c>
      <c r="F137" s="175">
        <v>0</v>
      </c>
      <c r="G137" s="175">
        <v>19561400</v>
      </c>
      <c r="H137" s="175">
        <v>0</v>
      </c>
    </row>
    <row r="138" spans="1:8">
      <c r="A138" s="174" t="s">
        <v>431</v>
      </c>
      <c r="B138" s="174" t="s">
        <v>432</v>
      </c>
      <c r="C138" s="175">
        <v>0</v>
      </c>
      <c r="D138" s="175">
        <v>0</v>
      </c>
      <c r="E138" s="175">
        <v>48504833.359999999</v>
      </c>
      <c r="F138" s="175">
        <v>0</v>
      </c>
      <c r="G138" s="175">
        <v>48504833.359999999</v>
      </c>
      <c r="H138" s="175">
        <v>0</v>
      </c>
    </row>
    <row r="139" spans="1:8">
      <c r="A139" s="174" t="s">
        <v>435</v>
      </c>
      <c r="B139" s="174" t="s">
        <v>436</v>
      </c>
      <c r="C139" s="175">
        <v>0</v>
      </c>
      <c r="D139" s="175">
        <v>0</v>
      </c>
      <c r="E139" s="175">
        <v>2952194.07</v>
      </c>
      <c r="F139" s="175">
        <v>0</v>
      </c>
      <c r="G139" s="175">
        <v>2952194.07</v>
      </c>
      <c r="H139" s="175">
        <v>0</v>
      </c>
    </row>
    <row r="140" spans="1:8">
      <c r="A140" s="174" t="s">
        <v>437</v>
      </c>
      <c r="B140" s="174" t="s">
        <v>438</v>
      </c>
      <c r="C140" s="175">
        <v>0</v>
      </c>
      <c r="D140" s="175">
        <v>0</v>
      </c>
      <c r="E140" s="175">
        <v>31013694.579999998</v>
      </c>
      <c r="F140" s="175">
        <v>0</v>
      </c>
      <c r="G140" s="175">
        <v>31013694.579999998</v>
      </c>
      <c r="H140" s="175">
        <v>0</v>
      </c>
    </row>
    <row r="141" spans="1:8">
      <c r="A141" s="174" t="s">
        <v>439</v>
      </c>
      <c r="B141" s="174" t="s">
        <v>440</v>
      </c>
      <c r="C141" s="175">
        <v>0</v>
      </c>
      <c r="D141" s="175">
        <v>0</v>
      </c>
      <c r="E141" s="175">
        <v>38130466.560000002</v>
      </c>
      <c r="F141" s="175">
        <v>0</v>
      </c>
      <c r="G141" s="175">
        <v>38130466.560000002</v>
      </c>
      <c r="H141" s="175">
        <v>0</v>
      </c>
    </row>
    <row r="142" spans="1:8">
      <c r="A142" s="174" t="s">
        <v>441</v>
      </c>
      <c r="B142" s="174" t="s">
        <v>442</v>
      </c>
      <c r="C142" s="175">
        <v>0</v>
      </c>
      <c r="D142" s="175">
        <v>0</v>
      </c>
      <c r="E142" s="175">
        <v>15988255.859999998</v>
      </c>
      <c r="F142" s="175">
        <v>0</v>
      </c>
      <c r="G142" s="175">
        <v>15988255.859999998</v>
      </c>
      <c r="H142" s="175">
        <v>0</v>
      </c>
    </row>
    <row r="143" spans="1:8">
      <c r="A143" s="174" t="s">
        <v>443</v>
      </c>
      <c r="B143" s="174" t="s">
        <v>444</v>
      </c>
      <c r="C143" s="175">
        <v>0</v>
      </c>
      <c r="D143" s="175">
        <v>0</v>
      </c>
      <c r="E143" s="175">
        <v>3379019.0499999989</v>
      </c>
      <c r="F143" s="175">
        <v>0</v>
      </c>
      <c r="G143" s="175">
        <v>3379019.0499999989</v>
      </c>
      <c r="H143" s="175">
        <v>0</v>
      </c>
    </row>
    <row r="144" spans="1:8">
      <c r="A144" s="174" t="s">
        <v>445</v>
      </c>
      <c r="B144" s="174" t="s">
        <v>446</v>
      </c>
      <c r="C144" s="175">
        <v>0</v>
      </c>
      <c r="D144" s="175">
        <v>0</v>
      </c>
      <c r="E144" s="175">
        <v>9389071.6500000004</v>
      </c>
      <c r="F144" s="175">
        <v>0</v>
      </c>
      <c r="G144" s="175">
        <v>9389071.6500000004</v>
      </c>
      <c r="H144" s="175">
        <v>0</v>
      </c>
    </row>
    <row r="145" spans="1:9">
      <c r="A145" s="174" t="s">
        <v>447</v>
      </c>
      <c r="B145" s="174" t="s">
        <v>448</v>
      </c>
      <c r="C145" s="175">
        <v>0</v>
      </c>
      <c r="D145" s="175">
        <v>0</v>
      </c>
      <c r="E145" s="175">
        <v>15600406.210000001</v>
      </c>
      <c r="F145" s="175">
        <v>0</v>
      </c>
      <c r="G145" s="175">
        <v>15600406.210000001</v>
      </c>
      <c r="H145" s="175">
        <v>0</v>
      </c>
    </row>
    <row r="146" spans="1:9">
      <c r="A146" s="174" t="s">
        <v>449</v>
      </c>
      <c r="B146" s="174" t="s">
        <v>450</v>
      </c>
      <c r="C146" s="175">
        <v>0</v>
      </c>
      <c r="D146" s="175">
        <v>0</v>
      </c>
      <c r="E146" s="175">
        <v>211829366.22</v>
      </c>
      <c r="F146" s="175">
        <v>0</v>
      </c>
      <c r="G146" s="175">
        <v>211829366.22</v>
      </c>
      <c r="H146" s="175">
        <v>0</v>
      </c>
    </row>
    <row r="147" spans="1:9">
      <c r="A147" s="174" t="s">
        <v>451</v>
      </c>
      <c r="B147" s="174" t="s">
        <v>452</v>
      </c>
      <c r="C147" s="175">
        <v>0</v>
      </c>
      <c r="D147" s="175">
        <v>0</v>
      </c>
      <c r="E147" s="175">
        <v>0</v>
      </c>
      <c r="F147" s="175">
        <v>1969628933.2199998</v>
      </c>
      <c r="G147" s="175">
        <v>0</v>
      </c>
      <c r="H147" s="175">
        <v>1969628933.2199998</v>
      </c>
    </row>
    <row r="148" spans="1:9">
      <c r="A148" s="174" t="s">
        <v>455</v>
      </c>
      <c r="B148" s="174" t="s">
        <v>456</v>
      </c>
      <c r="C148" s="175">
        <v>0</v>
      </c>
      <c r="D148" s="175">
        <v>0</v>
      </c>
      <c r="E148" s="175">
        <v>40700259.93</v>
      </c>
      <c r="F148" s="175">
        <v>40700259.93</v>
      </c>
      <c r="G148" s="175">
        <v>0</v>
      </c>
      <c r="H148" s="175">
        <v>0</v>
      </c>
    </row>
    <row r="149" spans="1:9">
      <c r="A149" s="174" t="s">
        <v>457</v>
      </c>
      <c r="B149" s="174" t="s">
        <v>458</v>
      </c>
      <c r="C149" s="175">
        <v>0</v>
      </c>
      <c r="D149" s="175">
        <v>0</v>
      </c>
      <c r="E149" s="175">
        <v>278558583.95999998</v>
      </c>
      <c r="F149" s="175">
        <v>350617077.26999998</v>
      </c>
      <c r="G149" s="175">
        <v>0</v>
      </c>
      <c r="H149" s="175">
        <v>72058493.310000032</v>
      </c>
    </row>
    <row r="150" spans="1:9">
      <c r="A150" s="174" t="s">
        <v>461</v>
      </c>
      <c r="B150" s="174" t="s">
        <v>462</v>
      </c>
      <c r="C150" s="175">
        <v>0</v>
      </c>
      <c r="D150" s="175">
        <v>0</v>
      </c>
      <c r="E150" s="175">
        <v>6455637.71</v>
      </c>
      <c r="F150" s="175">
        <v>3759301.0800000005</v>
      </c>
      <c r="G150" s="175">
        <v>2696336.6299999994</v>
      </c>
      <c r="H150" s="175">
        <v>0</v>
      </c>
    </row>
    <row r="151" spans="1:9">
      <c r="A151" s="174" t="s">
        <v>463</v>
      </c>
      <c r="B151" s="174" t="s">
        <v>464</v>
      </c>
      <c r="C151" s="175">
        <v>0</v>
      </c>
      <c r="D151" s="175">
        <v>0</v>
      </c>
      <c r="E151" s="175">
        <v>0</v>
      </c>
      <c r="F151" s="175">
        <v>479463188</v>
      </c>
      <c r="G151" s="175">
        <v>0</v>
      </c>
      <c r="H151" s="175">
        <v>479463188</v>
      </c>
    </row>
    <row r="152" spans="1:9">
      <c r="A152" s="174" t="s">
        <v>465</v>
      </c>
      <c r="B152" s="174" t="s">
        <v>466</v>
      </c>
      <c r="C152" s="175">
        <v>0</v>
      </c>
      <c r="D152" s="175">
        <v>0</v>
      </c>
      <c r="E152" s="175">
        <v>41654400</v>
      </c>
      <c r="F152" s="175">
        <v>105389600</v>
      </c>
      <c r="G152" s="175">
        <v>0</v>
      </c>
      <c r="H152" s="175">
        <v>63735200</v>
      </c>
    </row>
    <row r="153" spans="1:9">
      <c r="A153" s="174" t="s">
        <v>469</v>
      </c>
      <c r="B153" s="174" t="s">
        <v>470</v>
      </c>
      <c r="C153" s="175">
        <v>0</v>
      </c>
      <c r="D153" s="175">
        <v>0</v>
      </c>
      <c r="E153" s="175">
        <v>0</v>
      </c>
      <c r="F153" s="175">
        <v>2001.2</v>
      </c>
      <c r="G153" s="175">
        <v>0</v>
      </c>
      <c r="H153" s="175">
        <v>2001.2</v>
      </c>
    </row>
    <row r="154" spans="1:9" s="176" customFormat="1" ht="12.75">
      <c r="C154" s="177">
        <f t="shared" ref="C154:H154" si="1">SUM(C85:C153)</f>
        <v>0</v>
      </c>
      <c r="D154" s="177">
        <f t="shared" si="1"/>
        <v>0</v>
      </c>
      <c r="E154" s="177">
        <f t="shared" si="1"/>
        <v>2417843999.2599998</v>
      </c>
      <c r="F154" s="177">
        <f t="shared" si="1"/>
        <v>3046982592.3099995</v>
      </c>
      <c r="G154" s="177">
        <f t="shared" si="1"/>
        <v>1955749222.6800001</v>
      </c>
      <c r="H154" s="177">
        <f t="shared" si="1"/>
        <v>2584887815.7299995</v>
      </c>
    </row>
    <row r="155" spans="1:9" s="178" customFormat="1">
      <c r="D155" s="178">
        <f>+D154-C154</f>
        <v>0</v>
      </c>
      <c r="F155" s="178">
        <f>+F154-E154</f>
        <v>629138593.04999971</v>
      </c>
      <c r="H155" s="178">
        <f>+H154-G154</f>
        <v>629138593.04999948</v>
      </c>
    </row>
    <row r="156" spans="1:9">
      <c r="H156" s="180">
        <f>+H155-F155</f>
        <v>0</v>
      </c>
      <c r="I156" s="103" t="s">
        <v>613</v>
      </c>
    </row>
    <row r="157" spans="1:9">
      <c r="F157" s="179">
        <f>+F155+F77</f>
        <v>1.1920928955078125E-5</v>
      </c>
      <c r="H157" s="180">
        <f>+H155+H77</f>
        <v>1.1682510375976563E-5</v>
      </c>
    </row>
  </sheetData>
  <mergeCells count="6">
    <mergeCell ref="C3:D3"/>
    <mergeCell ref="E3:F3"/>
    <mergeCell ref="G3:H3"/>
    <mergeCell ref="C83:D83"/>
    <mergeCell ref="E83:F83"/>
    <mergeCell ref="G83:H8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CC"/>
    <pageSetUpPr fitToPage="1"/>
  </sheetPr>
  <dimension ref="A1:L181"/>
  <sheetViews>
    <sheetView workbookViewId="0">
      <pane xSplit="2" ySplit="4" topLeftCell="C56" activePane="bottomRight" state="frozen"/>
      <selection pane="topRight" activeCell="C1" sqref="C1"/>
      <selection pane="bottomLeft" activeCell="A5" sqref="A5"/>
      <selection pane="bottomRight" activeCell="C75" sqref="C75"/>
    </sheetView>
  </sheetViews>
  <sheetFormatPr defaultRowHeight="15.75"/>
  <cols>
    <col min="1" max="1" width="7.625" style="103" customWidth="1"/>
    <col min="2" max="2" width="36.75" style="103" customWidth="1"/>
    <col min="3" max="3" width="17.625" style="103" customWidth="1"/>
    <col min="4" max="4" width="17.25" style="103" customWidth="1"/>
    <col min="5" max="5" width="18.125" style="103" customWidth="1"/>
    <col min="6" max="6" width="18" style="103" customWidth="1"/>
    <col min="7" max="7" width="17.5" style="103" customWidth="1"/>
    <col min="8" max="8" width="17.125" style="103" bestFit="1" customWidth="1"/>
    <col min="9" max="10" width="16.625" style="103" bestFit="1" customWidth="1"/>
    <col min="11" max="11" width="16" style="103" bestFit="1" customWidth="1"/>
    <col min="12" max="16384" width="9" style="103"/>
  </cols>
  <sheetData>
    <row r="1" spans="1:12">
      <c r="A1" s="102" t="s">
        <v>110</v>
      </c>
      <c r="B1" s="102" t="s">
        <v>111</v>
      </c>
    </row>
    <row r="2" spans="1:12">
      <c r="D2" s="176" t="s">
        <v>659</v>
      </c>
      <c r="E2" s="176" t="s">
        <v>660</v>
      </c>
      <c r="F2" s="176" t="s">
        <v>112</v>
      </c>
    </row>
    <row r="3" spans="1:12" s="176" customFormat="1" ht="12.75">
      <c r="C3" s="451" t="s">
        <v>530</v>
      </c>
      <c r="D3" s="451"/>
      <c r="E3" s="452" t="s">
        <v>531</v>
      </c>
      <c r="F3" s="452"/>
      <c r="G3" s="452" t="s">
        <v>532</v>
      </c>
      <c r="H3" s="452"/>
      <c r="I3" s="452" t="s">
        <v>533</v>
      </c>
      <c r="J3" s="452"/>
      <c r="K3" s="176" t="s">
        <v>688</v>
      </c>
      <c r="L3" s="176" t="s">
        <v>555</v>
      </c>
    </row>
    <row r="4" spans="1:12" s="176" customFormat="1" ht="12.75">
      <c r="C4" s="176" t="s">
        <v>272</v>
      </c>
      <c r="D4" s="176" t="s">
        <v>273</v>
      </c>
      <c r="E4" s="176" t="s">
        <v>272</v>
      </c>
      <c r="F4" s="176" t="s">
        <v>273</v>
      </c>
      <c r="G4" s="176" t="s">
        <v>272</v>
      </c>
      <c r="H4" s="176" t="s">
        <v>273</v>
      </c>
      <c r="I4" s="176" t="s">
        <v>272</v>
      </c>
      <c r="J4" s="176" t="s">
        <v>273</v>
      </c>
    </row>
    <row r="5" spans="1:12">
      <c r="A5" s="102" t="s">
        <v>118</v>
      </c>
      <c r="B5" s="102" t="s">
        <v>119</v>
      </c>
      <c r="C5" s="186">
        <v>4468000</v>
      </c>
      <c r="D5" s="186">
        <v>0</v>
      </c>
      <c r="E5" s="186">
        <v>144960445</v>
      </c>
      <c r="F5" s="186">
        <v>139428445</v>
      </c>
      <c r="G5" s="186">
        <v>10000000</v>
      </c>
      <c r="H5" s="186">
        <v>0</v>
      </c>
      <c r="I5" s="177">
        <f>+G5-C5</f>
        <v>5532000</v>
      </c>
      <c r="J5" s="177">
        <f>+H5-D5</f>
        <v>0</v>
      </c>
    </row>
    <row r="6" spans="1:12">
      <c r="A6" s="240" t="s">
        <v>141</v>
      </c>
      <c r="B6" s="240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334">
        <f t="shared" ref="I6:I19" si="0">+G6-C6</f>
        <v>0</v>
      </c>
      <c r="J6" s="177">
        <f t="shared" ref="I6:J69" si="1">+H6-D6</f>
        <v>0</v>
      </c>
    </row>
    <row r="7" spans="1:12">
      <c r="A7" s="240" t="s">
        <v>127</v>
      </c>
      <c r="B7" s="240" t="s">
        <v>128</v>
      </c>
      <c r="C7" s="186">
        <v>137607.24000000954</v>
      </c>
      <c r="D7" s="186">
        <v>0</v>
      </c>
      <c r="E7" s="186">
        <v>0</v>
      </c>
      <c r="F7" s="186">
        <v>40000</v>
      </c>
      <c r="G7" s="186">
        <v>97607.240000009537</v>
      </c>
      <c r="H7" s="186">
        <v>0</v>
      </c>
      <c r="I7" s="334">
        <f t="shared" si="0"/>
        <v>-40000</v>
      </c>
      <c r="J7" s="177">
        <f t="shared" si="1"/>
        <v>0</v>
      </c>
    </row>
    <row r="8" spans="1:12">
      <c r="A8" s="240" t="s">
        <v>135</v>
      </c>
      <c r="B8" s="240" t="s">
        <v>136</v>
      </c>
      <c r="C8" s="186">
        <v>1788525.38</v>
      </c>
      <c r="D8" s="186">
        <v>0</v>
      </c>
      <c r="E8" s="186">
        <v>280195405.50999999</v>
      </c>
      <c r="F8" s="186">
        <v>277705823.36999989</v>
      </c>
      <c r="G8" s="186">
        <v>4278107.5200001141</v>
      </c>
      <c r="H8" s="186">
        <v>0</v>
      </c>
      <c r="I8" s="334">
        <f t="shared" si="0"/>
        <v>2489582.1400001142</v>
      </c>
      <c r="J8" s="177">
        <f t="shared" si="1"/>
        <v>0</v>
      </c>
    </row>
    <row r="9" spans="1:12">
      <c r="A9" s="240" t="s">
        <v>143</v>
      </c>
      <c r="B9" s="240" t="s">
        <v>144</v>
      </c>
      <c r="C9" s="186">
        <v>1594317.12</v>
      </c>
      <c r="D9" s="186">
        <v>0</v>
      </c>
      <c r="E9" s="186">
        <v>71877.570000000007</v>
      </c>
      <c r="F9" s="186">
        <v>144144.06</v>
      </c>
      <c r="G9" s="186">
        <v>1522050.63</v>
      </c>
      <c r="H9" s="186">
        <v>0</v>
      </c>
      <c r="I9" s="334">
        <f t="shared" si="0"/>
        <v>-72266.490000000224</v>
      </c>
      <c r="J9" s="177">
        <f t="shared" si="1"/>
        <v>0</v>
      </c>
    </row>
    <row r="10" spans="1:12">
      <c r="A10" s="240" t="s">
        <v>131</v>
      </c>
      <c r="B10" s="240" t="s">
        <v>132</v>
      </c>
      <c r="C10" s="186">
        <v>294629790</v>
      </c>
      <c r="D10" s="186">
        <v>0</v>
      </c>
      <c r="E10" s="186">
        <v>189653749624</v>
      </c>
      <c r="F10" s="186">
        <v>188911397946</v>
      </c>
      <c r="G10" s="186">
        <v>1036981468</v>
      </c>
      <c r="H10" s="186">
        <v>0</v>
      </c>
      <c r="I10" s="334">
        <f t="shared" si="0"/>
        <v>742351678</v>
      </c>
      <c r="J10" s="177">
        <f t="shared" si="1"/>
        <v>0</v>
      </c>
    </row>
    <row r="11" spans="1:12">
      <c r="A11" s="240" t="s">
        <v>121</v>
      </c>
      <c r="B11" s="240" t="s">
        <v>122</v>
      </c>
      <c r="C11" s="186">
        <v>55650947823</v>
      </c>
      <c r="D11" s="186">
        <v>0</v>
      </c>
      <c r="E11" s="186">
        <v>346268328873</v>
      </c>
      <c r="F11" s="186">
        <v>329674393383</v>
      </c>
      <c r="G11" s="186">
        <v>72244883313</v>
      </c>
      <c r="H11" s="186">
        <v>0</v>
      </c>
      <c r="I11" s="334">
        <f t="shared" si="0"/>
        <v>16593935490</v>
      </c>
      <c r="J11" s="177">
        <f t="shared" si="1"/>
        <v>0</v>
      </c>
    </row>
    <row r="12" spans="1:12">
      <c r="A12" s="240" t="s">
        <v>123</v>
      </c>
      <c r="B12" s="240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334">
        <f t="shared" si="0"/>
        <v>0</v>
      </c>
      <c r="J12" s="177">
        <f t="shared" si="1"/>
        <v>0</v>
      </c>
    </row>
    <row r="13" spans="1:12">
      <c r="A13" s="240" t="s">
        <v>274</v>
      </c>
      <c r="B13" s="240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334">
        <f t="shared" si="0"/>
        <v>0</v>
      </c>
      <c r="J13" s="177">
        <f t="shared" si="1"/>
        <v>0</v>
      </c>
    </row>
    <row r="14" spans="1:12">
      <c r="A14" s="240" t="s">
        <v>276</v>
      </c>
      <c r="B14" s="240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334">
        <f t="shared" si="0"/>
        <v>0</v>
      </c>
      <c r="J14" s="177">
        <f t="shared" si="1"/>
        <v>0</v>
      </c>
    </row>
    <row r="15" spans="1:12">
      <c r="A15" s="240" t="s">
        <v>278</v>
      </c>
      <c r="B15" s="240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334">
        <f t="shared" si="0"/>
        <v>0</v>
      </c>
      <c r="J15" s="177">
        <f t="shared" si="1"/>
        <v>0</v>
      </c>
    </row>
    <row r="16" spans="1:12">
      <c r="A16" s="240" t="s">
        <v>145</v>
      </c>
      <c r="B16" s="240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334">
        <f t="shared" si="0"/>
        <v>0</v>
      </c>
      <c r="J16" s="177">
        <f t="shared" si="1"/>
        <v>0</v>
      </c>
    </row>
    <row r="17" spans="1:12">
      <c r="A17" s="240" t="s">
        <v>661</v>
      </c>
      <c r="B17" s="240" t="s">
        <v>662</v>
      </c>
      <c r="C17" s="186">
        <v>0</v>
      </c>
      <c r="D17" s="186">
        <v>0</v>
      </c>
      <c r="E17" s="186">
        <v>63285440000</v>
      </c>
      <c r="F17" s="186">
        <v>63285440000</v>
      </c>
      <c r="G17" s="186">
        <v>0</v>
      </c>
      <c r="H17" s="186">
        <v>0</v>
      </c>
      <c r="I17" s="334">
        <f t="shared" si="0"/>
        <v>0</v>
      </c>
      <c r="J17" s="177">
        <f t="shared" si="1"/>
        <v>0</v>
      </c>
    </row>
    <row r="18" spans="1:12">
      <c r="A18" s="240" t="s">
        <v>663</v>
      </c>
      <c r="B18" s="240" t="s">
        <v>664</v>
      </c>
      <c r="C18" s="186">
        <v>0</v>
      </c>
      <c r="D18" s="186">
        <v>0</v>
      </c>
      <c r="E18" s="186">
        <v>1990906350</v>
      </c>
      <c r="F18" s="186">
        <v>1990906350</v>
      </c>
      <c r="G18" s="186">
        <v>0</v>
      </c>
      <c r="H18" s="186">
        <v>0</v>
      </c>
      <c r="I18" s="334">
        <f t="shared" si="0"/>
        <v>0</v>
      </c>
      <c r="J18" s="177">
        <f t="shared" si="1"/>
        <v>0</v>
      </c>
    </row>
    <row r="19" spans="1:12">
      <c r="A19" s="240" t="s">
        <v>149</v>
      </c>
      <c r="B19" s="240" t="s">
        <v>150</v>
      </c>
      <c r="C19" s="186">
        <v>9249349530.220005</v>
      </c>
      <c r="D19" s="186">
        <v>0</v>
      </c>
      <c r="E19" s="186">
        <v>14928778666.950001</v>
      </c>
      <c r="F19" s="186">
        <v>17517669344.850002</v>
      </c>
      <c r="G19" s="186">
        <v>6660458852.3200026</v>
      </c>
      <c r="H19" s="186">
        <v>0</v>
      </c>
      <c r="I19" s="334">
        <f t="shared" si="0"/>
        <v>-2588890677.9000025</v>
      </c>
      <c r="J19" s="177">
        <f t="shared" si="1"/>
        <v>0</v>
      </c>
    </row>
    <row r="20" spans="1:12">
      <c r="A20" s="240" t="s">
        <v>139</v>
      </c>
      <c r="B20" s="240" t="s">
        <v>140</v>
      </c>
      <c r="C20" s="186">
        <v>30012667.199999999</v>
      </c>
      <c r="D20" s="186">
        <v>0</v>
      </c>
      <c r="E20" s="186">
        <v>653778557.76999998</v>
      </c>
      <c r="F20" s="186">
        <v>567522298.60000002</v>
      </c>
      <c r="G20" s="186">
        <v>116268926.37</v>
      </c>
      <c r="H20" s="186">
        <v>0</v>
      </c>
      <c r="I20" s="334">
        <f t="shared" si="1"/>
        <v>86256259.170000002</v>
      </c>
      <c r="J20" s="177">
        <f t="shared" si="1"/>
        <v>0</v>
      </c>
    </row>
    <row r="21" spans="1:12">
      <c r="A21" s="240" t="s">
        <v>665</v>
      </c>
      <c r="B21" s="240" t="s">
        <v>666</v>
      </c>
      <c r="C21" s="186">
        <v>0</v>
      </c>
      <c r="D21" s="186">
        <v>0</v>
      </c>
      <c r="E21" s="186">
        <v>2530671.62</v>
      </c>
      <c r="F21" s="186">
        <v>2430000</v>
      </c>
      <c r="G21" s="186">
        <v>100671.62</v>
      </c>
      <c r="H21" s="186">
        <v>0</v>
      </c>
      <c r="I21" s="334">
        <f t="shared" si="1"/>
        <v>100671.62</v>
      </c>
      <c r="J21" s="177">
        <f t="shared" si="1"/>
        <v>0</v>
      </c>
    </row>
    <row r="22" spans="1:12">
      <c r="A22" s="240" t="s">
        <v>667</v>
      </c>
      <c r="B22" s="240" t="s">
        <v>668</v>
      </c>
      <c r="C22" s="186">
        <v>0</v>
      </c>
      <c r="D22" s="186">
        <v>0</v>
      </c>
      <c r="E22" s="186">
        <v>2200983.84</v>
      </c>
      <c r="F22" s="186">
        <v>2100000</v>
      </c>
      <c r="G22" s="186">
        <v>100983.84</v>
      </c>
      <c r="H22" s="186">
        <v>0</v>
      </c>
      <c r="I22" s="334">
        <f t="shared" si="1"/>
        <v>100983.84</v>
      </c>
      <c r="J22" s="177">
        <f t="shared" si="1"/>
        <v>0</v>
      </c>
    </row>
    <row r="23" spans="1:12">
      <c r="A23" s="240" t="s">
        <v>137</v>
      </c>
      <c r="B23" s="240" t="s">
        <v>138</v>
      </c>
      <c r="C23" s="186">
        <v>3469166998</v>
      </c>
      <c r="D23" s="186">
        <v>0</v>
      </c>
      <c r="E23" s="186">
        <v>2180906164</v>
      </c>
      <c r="F23" s="186">
        <v>0</v>
      </c>
      <c r="G23" s="186">
        <v>5650073162</v>
      </c>
      <c r="H23" s="186">
        <v>0</v>
      </c>
      <c r="I23" s="334">
        <f t="shared" si="1"/>
        <v>2180906164</v>
      </c>
      <c r="J23" s="177">
        <f t="shared" si="1"/>
        <v>0</v>
      </c>
    </row>
    <row r="24" spans="1:12">
      <c r="A24" s="240" t="s">
        <v>151</v>
      </c>
      <c r="B24" s="240" t="s">
        <v>152</v>
      </c>
      <c r="C24" s="186">
        <v>834498509.7700119</v>
      </c>
      <c r="D24" s="186">
        <v>0</v>
      </c>
      <c r="E24" s="186">
        <v>38310784734.200005</v>
      </c>
      <c r="F24" s="186">
        <v>35059873014</v>
      </c>
      <c r="G24" s="186">
        <v>4085410229.9700146</v>
      </c>
      <c r="H24" s="186">
        <v>0</v>
      </c>
      <c r="I24" s="334">
        <f t="shared" si="1"/>
        <v>3250911720.2000027</v>
      </c>
      <c r="J24" s="177">
        <f t="shared" si="1"/>
        <v>0</v>
      </c>
    </row>
    <row r="25" spans="1:12">
      <c r="A25" s="240" t="s">
        <v>669</v>
      </c>
      <c r="B25" s="240" t="s">
        <v>670</v>
      </c>
      <c r="C25" s="186">
        <v>0</v>
      </c>
      <c r="D25" s="186">
        <v>0</v>
      </c>
      <c r="E25" s="186">
        <v>3043726.02</v>
      </c>
      <c r="F25" s="186">
        <v>0</v>
      </c>
      <c r="G25" s="186">
        <v>3043726.02</v>
      </c>
      <c r="H25" s="186">
        <v>0</v>
      </c>
      <c r="I25" s="334">
        <f t="shared" si="1"/>
        <v>3043726.02</v>
      </c>
      <c r="J25" s="177">
        <f t="shared" si="1"/>
        <v>0</v>
      </c>
      <c r="K25" s="323">
        <f>+SUM(I6:I25)</f>
        <v>20271093330.600002</v>
      </c>
      <c r="L25" s="103" t="s">
        <v>613</v>
      </c>
    </row>
    <row r="26" spans="1:12">
      <c r="A26" s="102" t="s">
        <v>671</v>
      </c>
      <c r="B26" s="102" t="s">
        <v>672</v>
      </c>
      <c r="C26" s="186">
        <v>0</v>
      </c>
      <c r="D26" s="186">
        <v>0</v>
      </c>
      <c r="E26" s="186">
        <v>35000000000</v>
      </c>
      <c r="F26" s="186">
        <v>0</v>
      </c>
      <c r="G26" s="186">
        <v>35000000000</v>
      </c>
      <c r="H26" s="186">
        <v>0</v>
      </c>
      <c r="I26" s="177">
        <f t="shared" si="1"/>
        <v>35000000000</v>
      </c>
      <c r="J26" s="177">
        <f t="shared" si="1"/>
        <v>0</v>
      </c>
    </row>
    <row r="27" spans="1:12">
      <c r="A27" s="102" t="s">
        <v>147</v>
      </c>
      <c r="B27" s="102" t="s">
        <v>148</v>
      </c>
      <c r="C27" s="186">
        <v>20000000000</v>
      </c>
      <c r="D27" s="186">
        <v>0</v>
      </c>
      <c r="E27" s="186">
        <v>0</v>
      </c>
      <c r="F27" s="186">
        <v>0</v>
      </c>
      <c r="G27" s="186">
        <v>20000000000</v>
      </c>
      <c r="H27" s="186">
        <v>0</v>
      </c>
      <c r="I27" s="177">
        <f t="shared" si="1"/>
        <v>0</v>
      </c>
      <c r="J27" s="177">
        <f t="shared" si="1"/>
        <v>0</v>
      </c>
    </row>
    <row r="28" spans="1:12">
      <c r="A28" s="102" t="s">
        <v>125</v>
      </c>
      <c r="B28" s="102" t="s">
        <v>126</v>
      </c>
      <c r="C28" s="186">
        <v>25000000000</v>
      </c>
      <c r="D28" s="186">
        <v>0</v>
      </c>
      <c r="E28" s="186">
        <v>0</v>
      </c>
      <c r="F28" s="186">
        <v>10000000000</v>
      </c>
      <c r="G28" s="186">
        <v>15000000000</v>
      </c>
      <c r="H28" s="186">
        <v>0</v>
      </c>
      <c r="I28" s="177">
        <f t="shared" si="1"/>
        <v>-10000000000</v>
      </c>
      <c r="J28" s="177">
        <f t="shared" si="1"/>
        <v>0</v>
      </c>
    </row>
    <row r="29" spans="1:12">
      <c r="A29" s="102" t="s">
        <v>129</v>
      </c>
      <c r="B29" s="102" t="s">
        <v>130</v>
      </c>
      <c r="C29" s="186">
        <v>5000000000</v>
      </c>
      <c r="D29" s="186">
        <v>0</v>
      </c>
      <c r="E29" s="186">
        <v>0</v>
      </c>
      <c r="F29" s="186">
        <v>0</v>
      </c>
      <c r="G29" s="186">
        <v>5000000000</v>
      </c>
      <c r="H29" s="186">
        <v>0</v>
      </c>
      <c r="I29" s="177">
        <f t="shared" si="1"/>
        <v>0</v>
      </c>
      <c r="J29" s="177">
        <f t="shared" si="1"/>
        <v>0</v>
      </c>
    </row>
    <row r="30" spans="1:12">
      <c r="A30" s="102" t="s">
        <v>133</v>
      </c>
      <c r="B30" s="102" t="s">
        <v>134</v>
      </c>
      <c r="C30" s="186">
        <v>35000000000</v>
      </c>
      <c r="D30" s="186">
        <v>0</v>
      </c>
      <c r="E30" s="186">
        <v>0</v>
      </c>
      <c r="F30" s="186">
        <v>35000000000</v>
      </c>
      <c r="G30" s="186">
        <v>0</v>
      </c>
      <c r="H30" s="186">
        <v>0</v>
      </c>
      <c r="I30" s="177">
        <f t="shared" si="1"/>
        <v>-35000000000</v>
      </c>
      <c r="J30" s="177">
        <f t="shared" si="1"/>
        <v>0</v>
      </c>
    </row>
    <row r="31" spans="1:12">
      <c r="A31" s="102" t="s">
        <v>644</v>
      </c>
      <c r="B31" s="102" t="s">
        <v>645</v>
      </c>
      <c r="C31" s="186">
        <v>0</v>
      </c>
      <c r="D31" s="186">
        <v>0</v>
      </c>
      <c r="E31" s="186">
        <v>10000000000</v>
      </c>
      <c r="F31" s="186">
        <v>0</v>
      </c>
      <c r="G31" s="186">
        <v>10000000000</v>
      </c>
      <c r="H31" s="186">
        <v>0</v>
      </c>
      <c r="I31" s="177">
        <f t="shared" si="1"/>
        <v>10000000000</v>
      </c>
      <c r="J31" s="177">
        <f t="shared" si="1"/>
        <v>0</v>
      </c>
    </row>
    <row r="32" spans="1:12">
      <c r="A32" s="209" t="s">
        <v>201</v>
      </c>
      <c r="B32" s="209" t="s">
        <v>202</v>
      </c>
      <c r="C32" s="186">
        <v>661706621.27000046</v>
      </c>
      <c r="D32" s="186">
        <v>0</v>
      </c>
      <c r="E32" s="186">
        <v>7786386986.1000004</v>
      </c>
      <c r="F32" s="186">
        <v>7797180365.6199999</v>
      </c>
      <c r="G32" s="186">
        <v>650913241.75</v>
      </c>
      <c r="H32" s="186">
        <v>0</v>
      </c>
      <c r="I32" s="347">
        <f t="shared" si="1"/>
        <v>-10793379.520000458</v>
      </c>
      <c r="J32" s="177">
        <f t="shared" si="1"/>
        <v>0</v>
      </c>
    </row>
    <row r="33" spans="1:12">
      <c r="A33" s="187" t="s">
        <v>217</v>
      </c>
      <c r="B33" s="187" t="s">
        <v>218</v>
      </c>
      <c r="C33" s="186">
        <v>155455781</v>
      </c>
      <c r="D33" s="186">
        <v>0</v>
      </c>
      <c r="E33" s="186">
        <v>31219974</v>
      </c>
      <c r="F33" s="186">
        <v>0</v>
      </c>
      <c r="G33" s="186">
        <v>186675755</v>
      </c>
      <c r="H33" s="186">
        <v>0</v>
      </c>
      <c r="I33" s="193">
        <f t="shared" si="1"/>
        <v>31219974</v>
      </c>
      <c r="J33" s="177">
        <f t="shared" si="1"/>
        <v>0</v>
      </c>
    </row>
    <row r="34" spans="1:12">
      <c r="A34" s="187" t="s">
        <v>215</v>
      </c>
      <c r="B34" s="187" t="s">
        <v>216</v>
      </c>
      <c r="C34" s="186">
        <v>11888910</v>
      </c>
      <c r="D34" s="186">
        <v>0</v>
      </c>
      <c r="E34" s="186">
        <v>0</v>
      </c>
      <c r="F34" s="186">
        <v>0</v>
      </c>
      <c r="G34" s="186">
        <v>11888910</v>
      </c>
      <c r="H34" s="186">
        <v>0</v>
      </c>
      <c r="I34" s="193">
        <f t="shared" si="1"/>
        <v>0</v>
      </c>
      <c r="J34" s="177">
        <f t="shared" si="1"/>
        <v>0</v>
      </c>
    </row>
    <row r="35" spans="1:12">
      <c r="A35" s="187" t="s">
        <v>282</v>
      </c>
      <c r="B35" s="187" t="s">
        <v>283</v>
      </c>
      <c r="C35" s="186">
        <v>0</v>
      </c>
      <c r="D35" s="186">
        <v>0</v>
      </c>
      <c r="E35" s="186">
        <v>900898</v>
      </c>
      <c r="F35" s="186">
        <v>900898</v>
      </c>
      <c r="G35" s="186">
        <v>0</v>
      </c>
      <c r="H35" s="186">
        <v>0</v>
      </c>
      <c r="I35" s="193">
        <f t="shared" si="1"/>
        <v>0</v>
      </c>
      <c r="J35" s="177">
        <f t="shared" si="1"/>
        <v>0</v>
      </c>
    </row>
    <row r="36" spans="1:12">
      <c r="A36" s="285" t="s">
        <v>159</v>
      </c>
      <c r="B36" s="285" t="s">
        <v>160</v>
      </c>
      <c r="C36" s="186">
        <v>58820889</v>
      </c>
      <c r="D36" s="186">
        <v>0</v>
      </c>
      <c r="E36" s="186">
        <v>31199788058</v>
      </c>
      <c r="F36" s="186">
        <v>30831272740</v>
      </c>
      <c r="G36" s="186">
        <v>427336207</v>
      </c>
      <c r="H36" s="186">
        <v>0</v>
      </c>
      <c r="I36" s="345">
        <f t="shared" si="1"/>
        <v>368515318</v>
      </c>
      <c r="J36" s="177">
        <f t="shared" si="1"/>
        <v>0</v>
      </c>
    </row>
    <row r="37" spans="1:12">
      <c r="A37" s="239" t="s">
        <v>162</v>
      </c>
      <c r="B37" s="239" t="s">
        <v>163</v>
      </c>
      <c r="C37" s="186">
        <v>0</v>
      </c>
      <c r="D37" s="186">
        <v>0</v>
      </c>
      <c r="E37" s="186">
        <v>12652709134</v>
      </c>
      <c r="F37" s="186">
        <v>12642566438</v>
      </c>
      <c r="G37" s="186">
        <v>10142696</v>
      </c>
      <c r="H37" s="186">
        <v>0</v>
      </c>
      <c r="I37" s="346">
        <f t="shared" si="1"/>
        <v>10142696</v>
      </c>
      <c r="J37" s="177">
        <f t="shared" si="1"/>
        <v>0</v>
      </c>
    </row>
    <row r="38" spans="1:12">
      <c r="A38" s="209" t="s">
        <v>203</v>
      </c>
      <c r="B38" s="209" t="s">
        <v>204</v>
      </c>
      <c r="C38" s="186">
        <v>535859520</v>
      </c>
      <c r="D38" s="186">
        <v>0</v>
      </c>
      <c r="E38" s="186">
        <v>188189720.09</v>
      </c>
      <c r="F38" s="186">
        <v>724049240.08999979</v>
      </c>
      <c r="G38" s="186">
        <v>1.52587890625E-7</v>
      </c>
      <c r="H38" s="186">
        <v>0</v>
      </c>
      <c r="I38" s="347">
        <f t="shared" si="1"/>
        <v>-535859519.99999982</v>
      </c>
      <c r="J38" s="177">
        <f t="shared" si="1"/>
        <v>0</v>
      </c>
      <c r="K38" s="190">
        <f>+I32+I38</f>
        <v>-546652899.52000022</v>
      </c>
    </row>
    <row r="39" spans="1:12">
      <c r="A39" s="243" t="s">
        <v>154</v>
      </c>
      <c r="B39" s="243" t="s">
        <v>155</v>
      </c>
      <c r="C39" s="186">
        <v>474219940.07999992</v>
      </c>
      <c r="D39" s="186">
        <v>0</v>
      </c>
      <c r="E39" s="186">
        <v>1188164408.8800001</v>
      </c>
      <c r="F39" s="186">
        <v>201040285.63999999</v>
      </c>
      <c r="G39" s="186">
        <v>1461344063.3199999</v>
      </c>
      <c r="H39" s="186">
        <v>0</v>
      </c>
      <c r="I39" s="336">
        <f t="shared" si="1"/>
        <v>987124123.24000001</v>
      </c>
      <c r="J39" s="177">
        <f t="shared" si="1"/>
        <v>0</v>
      </c>
    </row>
    <row r="40" spans="1:12">
      <c r="A40" s="243" t="s">
        <v>156</v>
      </c>
      <c r="B40" s="243" t="s">
        <v>157</v>
      </c>
      <c r="C40" s="186">
        <v>40700259.929999948</v>
      </c>
      <c r="D40" s="186">
        <v>0</v>
      </c>
      <c r="E40" s="186">
        <v>1354659455.2500002</v>
      </c>
      <c r="F40" s="186">
        <v>1286185278.5000002</v>
      </c>
      <c r="G40" s="186">
        <v>109174436.68000001</v>
      </c>
      <c r="H40" s="186">
        <v>0</v>
      </c>
      <c r="I40" s="336">
        <f t="shared" si="1"/>
        <v>68474176.75000006</v>
      </c>
      <c r="J40" s="177">
        <f t="shared" si="1"/>
        <v>0</v>
      </c>
      <c r="K40" s="190">
        <f>+I39+I40</f>
        <v>1055598299.99</v>
      </c>
      <c r="L40" s="103" t="s">
        <v>613</v>
      </c>
    </row>
    <row r="41" spans="1:12">
      <c r="A41" s="187" t="s">
        <v>165</v>
      </c>
      <c r="B41" s="187" t="s">
        <v>166</v>
      </c>
      <c r="C41" s="186">
        <v>5968583</v>
      </c>
      <c r="D41" s="186">
        <v>0</v>
      </c>
      <c r="E41" s="186">
        <v>49885561</v>
      </c>
      <c r="F41" s="186">
        <v>27873337</v>
      </c>
      <c r="G41" s="186">
        <v>27980807</v>
      </c>
      <c r="H41" s="186">
        <v>0</v>
      </c>
      <c r="I41" s="193">
        <f t="shared" si="1"/>
        <v>22012224</v>
      </c>
      <c r="J41" s="177">
        <f t="shared" si="1"/>
        <v>0</v>
      </c>
    </row>
    <row r="42" spans="1:12">
      <c r="A42" s="187" t="s">
        <v>171</v>
      </c>
      <c r="B42" s="187" t="s">
        <v>172</v>
      </c>
      <c r="C42" s="186">
        <v>0</v>
      </c>
      <c r="D42" s="186">
        <v>0</v>
      </c>
      <c r="E42" s="186">
        <v>433353461</v>
      </c>
      <c r="F42" s="186">
        <v>433353461</v>
      </c>
      <c r="G42" s="186">
        <v>0</v>
      </c>
      <c r="H42" s="186">
        <v>0</v>
      </c>
      <c r="I42" s="193">
        <f t="shared" si="1"/>
        <v>0</v>
      </c>
      <c r="J42" s="177">
        <f t="shared" si="1"/>
        <v>0</v>
      </c>
    </row>
    <row r="43" spans="1:12">
      <c r="A43" s="187" t="s">
        <v>167</v>
      </c>
      <c r="B43" s="187" t="s">
        <v>168</v>
      </c>
      <c r="C43" s="186">
        <v>0</v>
      </c>
      <c r="D43" s="186">
        <v>0</v>
      </c>
      <c r="E43" s="186">
        <v>372200</v>
      </c>
      <c r="F43" s="186">
        <v>372200</v>
      </c>
      <c r="G43" s="186">
        <v>0</v>
      </c>
      <c r="H43" s="186">
        <v>0</v>
      </c>
      <c r="I43" s="193">
        <f t="shared" si="1"/>
        <v>0</v>
      </c>
      <c r="J43" s="177">
        <f t="shared" si="1"/>
        <v>0</v>
      </c>
    </row>
    <row r="44" spans="1:12">
      <c r="A44" s="187" t="s">
        <v>284</v>
      </c>
      <c r="B44" s="187" t="s">
        <v>285</v>
      </c>
      <c r="C44" s="186">
        <v>0</v>
      </c>
      <c r="D44" s="186">
        <v>0</v>
      </c>
      <c r="E44" s="186">
        <v>3003136</v>
      </c>
      <c r="F44" s="186">
        <v>3003136</v>
      </c>
      <c r="G44" s="186">
        <v>0</v>
      </c>
      <c r="H44" s="186">
        <v>0</v>
      </c>
      <c r="I44" s="193">
        <f t="shared" si="1"/>
        <v>0</v>
      </c>
      <c r="J44" s="177">
        <f t="shared" si="1"/>
        <v>0</v>
      </c>
    </row>
    <row r="45" spans="1:12">
      <c r="A45" s="187" t="s">
        <v>169</v>
      </c>
      <c r="B45" s="187" t="s">
        <v>170</v>
      </c>
      <c r="C45" s="186">
        <v>500000</v>
      </c>
      <c r="D45" s="186">
        <v>0</v>
      </c>
      <c r="E45" s="186">
        <v>106505000</v>
      </c>
      <c r="F45" s="186">
        <v>89805000</v>
      </c>
      <c r="G45" s="186">
        <v>17200000</v>
      </c>
      <c r="H45" s="186">
        <v>0</v>
      </c>
      <c r="I45" s="193">
        <f t="shared" si="1"/>
        <v>16700000</v>
      </c>
      <c r="J45" s="177">
        <f t="shared" si="1"/>
        <v>0</v>
      </c>
    </row>
    <row r="46" spans="1:12">
      <c r="A46" s="187" t="s">
        <v>210</v>
      </c>
      <c r="B46" s="187" t="s">
        <v>211</v>
      </c>
      <c r="C46" s="186">
        <v>440769055.4600001</v>
      </c>
      <c r="D46" s="186">
        <v>0</v>
      </c>
      <c r="E46" s="186">
        <v>123668863.52000003</v>
      </c>
      <c r="F46" s="186">
        <v>555128184.75999951</v>
      </c>
      <c r="G46" s="186">
        <v>9309734.2200005334</v>
      </c>
      <c r="H46" s="186">
        <v>0</v>
      </c>
      <c r="I46" s="193">
        <f t="shared" si="1"/>
        <v>-431459321.23999959</v>
      </c>
      <c r="J46" s="177">
        <f t="shared" si="1"/>
        <v>0</v>
      </c>
    </row>
    <row r="47" spans="1:12">
      <c r="A47" s="187" t="s">
        <v>208</v>
      </c>
      <c r="B47" s="187" t="s">
        <v>209</v>
      </c>
      <c r="C47" s="186">
        <v>120296054.95999999</v>
      </c>
      <c r="D47" s="186">
        <v>0</v>
      </c>
      <c r="E47" s="186">
        <v>21767146.350000001</v>
      </c>
      <c r="F47" s="186">
        <v>137406356.41</v>
      </c>
      <c r="G47" s="186">
        <v>4656844.9000000004</v>
      </c>
      <c r="H47" s="186">
        <v>0</v>
      </c>
      <c r="I47" s="193">
        <f t="shared" si="1"/>
        <v>-115639210.05999999</v>
      </c>
      <c r="J47" s="177">
        <f t="shared" si="1"/>
        <v>0</v>
      </c>
    </row>
    <row r="48" spans="1:12">
      <c r="A48" s="187" t="s">
        <v>206</v>
      </c>
      <c r="B48" s="187" t="s">
        <v>207</v>
      </c>
      <c r="C48" s="186">
        <v>216393.44999998808</v>
      </c>
      <c r="D48" s="186">
        <v>0</v>
      </c>
      <c r="E48" s="186">
        <v>11352000</v>
      </c>
      <c r="F48" s="186">
        <v>5280043.01</v>
      </c>
      <c r="G48" s="186">
        <v>6288350.4399999883</v>
      </c>
      <c r="H48" s="186">
        <v>0</v>
      </c>
      <c r="I48" s="193">
        <f t="shared" si="1"/>
        <v>6071956.9900000002</v>
      </c>
      <c r="J48" s="177">
        <f t="shared" si="1"/>
        <v>0</v>
      </c>
    </row>
    <row r="49" spans="1:12">
      <c r="A49" s="187" t="s">
        <v>212</v>
      </c>
      <c r="B49" s="187" t="s">
        <v>213</v>
      </c>
      <c r="C49" s="186">
        <v>5709708.2300000004</v>
      </c>
      <c r="D49" s="186">
        <v>0</v>
      </c>
      <c r="E49" s="186">
        <v>9108000</v>
      </c>
      <c r="F49" s="186">
        <v>9412278.0700000003</v>
      </c>
      <c r="G49" s="186">
        <v>5405430.1600000001</v>
      </c>
      <c r="H49" s="186">
        <v>0</v>
      </c>
      <c r="I49" s="193">
        <f t="shared" si="1"/>
        <v>-304278.0700000003</v>
      </c>
      <c r="J49" s="177">
        <f t="shared" si="1"/>
        <v>0</v>
      </c>
    </row>
    <row r="50" spans="1:12">
      <c r="A50" s="187" t="s">
        <v>673</v>
      </c>
      <c r="B50" s="187" t="s">
        <v>674</v>
      </c>
      <c r="C50" s="186">
        <v>0</v>
      </c>
      <c r="D50" s="186">
        <v>0</v>
      </c>
      <c r="E50" s="186">
        <v>391534065</v>
      </c>
      <c r="F50" s="186">
        <v>98013335</v>
      </c>
      <c r="G50" s="186">
        <v>293520730</v>
      </c>
      <c r="H50" s="186">
        <v>0</v>
      </c>
      <c r="I50" s="193">
        <f t="shared" si="1"/>
        <v>293520730</v>
      </c>
      <c r="J50" s="177">
        <f t="shared" si="1"/>
        <v>0</v>
      </c>
      <c r="K50" s="190">
        <f>+SUM(I33:I35)+SUM(I41:I50)</f>
        <v>-177877924.37999958</v>
      </c>
    </row>
    <row r="51" spans="1:12">
      <c r="A51" s="362" t="s">
        <v>174</v>
      </c>
      <c r="B51" s="362" t="s">
        <v>175</v>
      </c>
      <c r="C51" s="186">
        <v>307778050.00999999</v>
      </c>
      <c r="D51" s="186">
        <v>0</v>
      </c>
      <c r="E51" s="186">
        <v>0</v>
      </c>
      <c r="F51" s="186">
        <v>6900000</v>
      </c>
      <c r="G51" s="186">
        <v>300878050.00999999</v>
      </c>
      <c r="H51" s="186">
        <v>0</v>
      </c>
      <c r="I51" s="363">
        <f t="shared" si="1"/>
        <v>-6900000</v>
      </c>
      <c r="J51" s="177">
        <f t="shared" si="1"/>
        <v>0</v>
      </c>
    </row>
    <row r="52" spans="1:12">
      <c r="A52" s="362" t="s">
        <v>179</v>
      </c>
      <c r="B52" s="362" t="s">
        <v>180</v>
      </c>
      <c r="C52" s="186">
        <v>629368000</v>
      </c>
      <c r="D52" s="186">
        <v>0</v>
      </c>
      <c r="E52" s="186">
        <v>0</v>
      </c>
      <c r="F52" s="186">
        <v>0</v>
      </c>
      <c r="G52" s="186">
        <v>629368000</v>
      </c>
      <c r="H52" s="186">
        <v>0</v>
      </c>
      <c r="I52" s="363">
        <f t="shared" si="1"/>
        <v>0</v>
      </c>
      <c r="J52" s="177">
        <f t="shared" si="1"/>
        <v>0</v>
      </c>
    </row>
    <row r="53" spans="1:12">
      <c r="A53" s="362" t="s">
        <v>177</v>
      </c>
      <c r="B53" s="362" t="s">
        <v>178</v>
      </c>
      <c r="C53" s="186">
        <v>1547672051.8699999</v>
      </c>
      <c r="D53" s="186">
        <v>0</v>
      </c>
      <c r="E53" s="186">
        <v>4840000</v>
      </c>
      <c r="F53" s="186">
        <v>0</v>
      </c>
      <c r="G53" s="186">
        <v>1552512051.8699999</v>
      </c>
      <c r="H53" s="186">
        <v>0</v>
      </c>
      <c r="I53" s="363">
        <f t="shared" si="1"/>
        <v>4840000</v>
      </c>
      <c r="J53" s="177">
        <f t="shared" si="1"/>
        <v>0</v>
      </c>
    </row>
    <row r="54" spans="1:12">
      <c r="A54" s="362" t="s">
        <v>183</v>
      </c>
      <c r="B54" s="362" t="s">
        <v>184</v>
      </c>
      <c r="C54" s="186">
        <v>649742024.07000005</v>
      </c>
      <c r="D54" s="186">
        <v>0</v>
      </c>
      <c r="E54" s="186">
        <v>8996500</v>
      </c>
      <c r="F54" s="186">
        <v>3786644.92</v>
      </c>
      <c r="G54" s="186">
        <v>654951879.1500001</v>
      </c>
      <c r="H54" s="186">
        <v>0</v>
      </c>
      <c r="I54" s="363">
        <f t="shared" si="1"/>
        <v>5209855.0800000429</v>
      </c>
      <c r="J54" s="177">
        <f t="shared" si="1"/>
        <v>0</v>
      </c>
    </row>
    <row r="55" spans="1:12">
      <c r="A55" s="362" t="s">
        <v>181</v>
      </c>
      <c r="B55" s="362" t="s">
        <v>182</v>
      </c>
      <c r="C55" s="186">
        <v>138215192.81999999</v>
      </c>
      <c r="D55" s="186">
        <v>0</v>
      </c>
      <c r="E55" s="186">
        <v>4011400</v>
      </c>
      <c r="F55" s="186">
        <v>980000</v>
      </c>
      <c r="G55" s="186">
        <v>141246592.81999999</v>
      </c>
      <c r="H55" s="186">
        <v>0</v>
      </c>
      <c r="I55" s="363">
        <f t="shared" si="1"/>
        <v>3031400</v>
      </c>
      <c r="J55" s="177">
        <f t="shared" si="1"/>
        <v>0</v>
      </c>
      <c r="K55" s="190">
        <f>+SUM(I51:I55)</f>
        <v>6181255.0800000429</v>
      </c>
    </row>
    <row r="56" spans="1:12">
      <c r="A56" s="362" t="s">
        <v>185</v>
      </c>
      <c r="B56" s="362" t="s">
        <v>186</v>
      </c>
      <c r="C56" s="186">
        <v>381089662.11000001</v>
      </c>
      <c r="D56" s="186">
        <v>0</v>
      </c>
      <c r="E56" s="186">
        <v>0</v>
      </c>
      <c r="F56" s="186">
        <v>0</v>
      </c>
      <c r="G56" s="186">
        <v>381089662.11000001</v>
      </c>
      <c r="H56" s="186">
        <v>0</v>
      </c>
      <c r="I56" s="177">
        <f t="shared" si="1"/>
        <v>0</v>
      </c>
      <c r="J56" s="177">
        <f t="shared" si="1"/>
        <v>0</v>
      </c>
    </row>
    <row r="57" spans="1:12">
      <c r="A57" s="221" t="s">
        <v>198</v>
      </c>
      <c r="B57" s="221" t="s">
        <v>199</v>
      </c>
      <c r="C57" s="186">
        <v>0</v>
      </c>
      <c r="D57" s="186">
        <v>58670584.840000004</v>
      </c>
      <c r="E57" s="186">
        <v>6900003</v>
      </c>
      <c r="F57" s="186">
        <v>60913368.640000015</v>
      </c>
      <c r="G57" s="186">
        <v>0</v>
      </c>
      <c r="H57" s="186">
        <v>112683950.48000002</v>
      </c>
      <c r="I57" s="177">
        <f t="shared" si="1"/>
        <v>0</v>
      </c>
      <c r="J57" s="331">
        <f t="shared" si="1"/>
        <v>54013365.640000015</v>
      </c>
    </row>
    <row r="58" spans="1:12">
      <c r="A58" s="221" t="s">
        <v>196</v>
      </c>
      <c r="B58" s="221" t="s">
        <v>197</v>
      </c>
      <c r="C58" s="186">
        <v>0</v>
      </c>
      <c r="D58" s="186">
        <v>244209315.18000004</v>
      </c>
      <c r="E58" s="186">
        <v>0</v>
      </c>
      <c r="F58" s="186">
        <v>125738872.45999999</v>
      </c>
      <c r="G58" s="186">
        <v>0</v>
      </c>
      <c r="H58" s="186">
        <v>369948187.63999999</v>
      </c>
      <c r="I58" s="177">
        <f t="shared" si="1"/>
        <v>0</v>
      </c>
      <c r="J58" s="331">
        <f t="shared" si="1"/>
        <v>125738872.45999995</v>
      </c>
    </row>
    <row r="59" spans="1:12">
      <c r="A59" s="221" t="s">
        <v>190</v>
      </c>
      <c r="B59" s="221" t="s">
        <v>191</v>
      </c>
      <c r="C59" s="186">
        <v>0</v>
      </c>
      <c r="D59" s="186">
        <v>306448141.20999998</v>
      </c>
      <c r="E59" s="186">
        <v>0</v>
      </c>
      <c r="F59" s="186">
        <v>155069623.1500001</v>
      </c>
      <c r="G59" s="186">
        <v>0</v>
      </c>
      <c r="H59" s="186">
        <v>461517764.36000007</v>
      </c>
      <c r="I59" s="177">
        <f t="shared" si="1"/>
        <v>0</v>
      </c>
      <c r="J59" s="331">
        <f t="shared" si="1"/>
        <v>155069623.1500001</v>
      </c>
    </row>
    <row r="60" spans="1:12">
      <c r="A60" s="221" t="s">
        <v>188</v>
      </c>
      <c r="B60" s="221" t="s">
        <v>189</v>
      </c>
      <c r="C60" s="186">
        <v>0</v>
      </c>
      <c r="D60" s="186">
        <v>112752822.11999997</v>
      </c>
      <c r="E60" s="186">
        <v>834450.85</v>
      </c>
      <c r="F60" s="186">
        <v>65088002.210000016</v>
      </c>
      <c r="G60" s="186">
        <v>0</v>
      </c>
      <c r="H60" s="186">
        <v>177006373.47999999</v>
      </c>
      <c r="I60" s="177">
        <f t="shared" si="1"/>
        <v>0</v>
      </c>
      <c r="J60" s="331">
        <f t="shared" si="1"/>
        <v>64253551.360000014</v>
      </c>
    </row>
    <row r="61" spans="1:12">
      <c r="A61" s="221" t="s">
        <v>194</v>
      </c>
      <c r="B61" s="221" t="s">
        <v>195</v>
      </c>
      <c r="C61" s="186">
        <v>0</v>
      </c>
      <c r="D61" s="186">
        <v>20246504.130000003</v>
      </c>
      <c r="E61" s="186">
        <v>37568.46</v>
      </c>
      <c r="F61" s="186">
        <v>13863974.410000004</v>
      </c>
      <c r="G61" s="186">
        <v>0</v>
      </c>
      <c r="H61" s="186">
        <v>34072910.080000013</v>
      </c>
      <c r="I61" s="177">
        <f t="shared" si="1"/>
        <v>0</v>
      </c>
      <c r="J61" s="331">
        <f t="shared" si="1"/>
        <v>13826405.95000001</v>
      </c>
    </row>
    <row r="62" spans="1:12">
      <c r="A62" s="221" t="s">
        <v>192</v>
      </c>
      <c r="B62" s="221" t="s">
        <v>193</v>
      </c>
      <c r="C62" s="186">
        <v>0</v>
      </c>
      <c r="D62" s="186">
        <v>73403487.100000009</v>
      </c>
      <c r="E62" s="186">
        <v>0</v>
      </c>
      <c r="F62" s="186">
        <v>38077901.680000015</v>
      </c>
      <c r="G62" s="186">
        <v>0</v>
      </c>
      <c r="H62" s="186">
        <v>111481388.78000002</v>
      </c>
      <c r="I62" s="177">
        <f t="shared" si="1"/>
        <v>0</v>
      </c>
      <c r="J62" s="331">
        <f t="shared" si="1"/>
        <v>38077901.680000007</v>
      </c>
      <c r="K62" s="323">
        <f>+SUM(J57:J62)</f>
        <v>450979720.24000007</v>
      </c>
      <c r="L62" s="103" t="s">
        <v>613</v>
      </c>
    </row>
    <row r="63" spans="1:12">
      <c r="A63" s="102" t="s">
        <v>286</v>
      </c>
      <c r="B63" s="102" t="s">
        <v>287</v>
      </c>
      <c r="C63" s="186">
        <v>0</v>
      </c>
      <c r="D63" s="186">
        <v>0</v>
      </c>
      <c r="E63" s="186">
        <v>892558604</v>
      </c>
      <c r="F63" s="186">
        <v>892558604</v>
      </c>
      <c r="G63" s="186">
        <v>0</v>
      </c>
      <c r="H63" s="186">
        <v>0</v>
      </c>
      <c r="I63" s="177">
        <f t="shared" si="1"/>
        <v>0</v>
      </c>
      <c r="J63" s="177">
        <f t="shared" si="1"/>
        <v>0</v>
      </c>
    </row>
    <row r="64" spans="1:12">
      <c r="A64" s="350" t="s">
        <v>227</v>
      </c>
      <c r="B64" s="350" t="s">
        <v>228</v>
      </c>
      <c r="C64" s="186">
        <v>0</v>
      </c>
      <c r="D64" s="186">
        <v>57237576</v>
      </c>
      <c r="E64" s="186">
        <v>30334388279</v>
      </c>
      <c r="F64" s="186">
        <v>30572071804</v>
      </c>
      <c r="G64" s="186">
        <v>0</v>
      </c>
      <c r="H64" s="186">
        <v>294921101</v>
      </c>
      <c r="I64" s="177">
        <f t="shared" si="1"/>
        <v>0</v>
      </c>
      <c r="J64" s="351">
        <f t="shared" si="1"/>
        <v>237683525</v>
      </c>
      <c r="K64" s="190">
        <f>+J64</f>
        <v>237683525</v>
      </c>
    </row>
    <row r="65" spans="1:11">
      <c r="A65" s="220" t="s">
        <v>222</v>
      </c>
      <c r="B65" s="220" t="s">
        <v>223</v>
      </c>
      <c r="C65" s="186">
        <v>0</v>
      </c>
      <c r="D65" s="186">
        <v>0</v>
      </c>
      <c r="E65" s="186">
        <v>13191670417</v>
      </c>
      <c r="F65" s="186">
        <v>13191670417</v>
      </c>
      <c r="G65" s="186">
        <v>0</v>
      </c>
      <c r="H65" s="186">
        <v>0</v>
      </c>
      <c r="I65" s="177">
        <f t="shared" si="1"/>
        <v>0</v>
      </c>
      <c r="J65" s="348">
        <f t="shared" si="1"/>
        <v>0</v>
      </c>
    </row>
    <row r="66" spans="1:11">
      <c r="A66" s="220" t="s">
        <v>224</v>
      </c>
      <c r="B66" s="220" t="s">
        <v>225</v>
      </c>
      <c r="C66" s="186">
        <v>0</v>
      </c>
      <c r="D66" s="186">
        <v>55650947823</v>
      </c>
      <c r="E66" s="186">
        <v>329674393383</v>
      </c>
      <c r="F66" s="186">
        <v>346268328873</v>
      </c>
      <c r="G66" s="186">
        <v>0</v>
      </c>
      <c r="H66" s="186">
        <v>72244883313</v>
      </c>
      <c r="I66" s="177">
        <f t="shared" si="1"/>
        <v>0</v>
      </c>
      <c r="J66" s="348">
        <f t="shared" si="1"/>
        <v>16593935490</v>
      </c>
    </row>
    <row r="67" spans="1:11">
      <c r="A67" s="220" t="s">
        <v>290</v>
      </c>
      <c r="B67" s="220" t="s">
        <v>291</v>
      </c>
      <c r="C67" s="186">
        <v>0</v>
      </c>
      <c r="D67" s="186">
        <v>0</v>
      </c>
      <c r="E67" s="186">
        <v>65275946000</v>
      </c>
      <c r="F67" s="186">
        <v>65275946000</v>
      </c>
      <c r="G67" s="186">
        <v>0</v>
      </c>
      <c r="H67" s="186">
        <v>0</v>
      </c>
      <c r="I67" s="177">
        <f t="shared" si="1"/>
        <v>0</v>
      </c>
      <c r="J67" s="348">
        <f t="shared" si="1"/>
        <v>0</v>
      </c>
    </row>
    <row r="68" spans="1:11">
      <c r="A68" s="220" t="s">
        <v>220</v>
      </c>
      <c r="B68" s="220" t="s">
        <v>221</v>
      </c>
      <c r="C68" s="186">
        <v>0</v>
      </c>
      <c r="D68" s="186">
        <v>25194647.999986574</v>
      </c>
      <c r="E68" s="186">
        <v>25194648</v>
      </c>
      <c r="F68" s="186">
        <v>0</v>
      </c>
      <c r="G68" s="186">
        <v>1.3427734375E-5</v>
      </c>
      <c r="H68" s="186">
        <v>0</v>
      </c>
      <c r="I68" s="177">
        <f t="shared" si="1"/>
        <v>1.3427734375E-5</v>
      </c>
      <c r="J68" s="348">
        <f t="shared" si="1"/>
        <v>-25194647.999986574</v>
      </c>
    </row>
    <row r="69" spans="1:11">
      <c r="A69" s="220" t="s">
        <v>675</v>
      </c>
      <c r="B69" s="220" t="s">
        <v>676</v>
      </c>
      <c r="C69" s="186">
        <v>0</v>
      </c>
      <c r="D69" s="186">
        <v>0</v>
      </c>
      <c r="E69" s="186">
        <v>990571939</v>
      </c>
      <c r="F69" s="186">
        <v>1284092669</v>
      </c>
      <c r="G69" s="186">
        <v>0</v>
      </c>
      <c r="H69" s="186">
        <v>293520730</v>
      </c>
      <c r="I69" s="177">
        <f t="shared" si="1"/>
        <v>0</v>
      </c>
      <c r="J69" s="348">
        <f t="shared" si="1"/>
        <v>293520730</v>
      </c>
      <c r="K69" s="190">
        <f>+SUM(J65:J69)</f>
        <v>16862261572.000013</v>
      </c>
    </row>
    <row r="70" spans="1:11">
      <c r="A70" s="354" t="s">
        <v>230</v>
      </c>
      <c r="B70" s="354" t="s">
        <v>231</v>
      </c>
      <c r="C70" s="186">
        <v>0</v>
      </c>
      <c r="D70" s="186">
        <v>1455561594.02</v>
      </c>
      <c r="E70" s="186">
        <v>2094076278.3299999</v>
      </c>
      <c r="F70" s="186">
        <v>1015937185.8499999</v>
      </c>
      <c r="G70" s="186">
        <v>0</v>
      </c>
      <c r="H70" s="186">
        <v>377422501.54000002</v>
      </c>
      <c r="I70" s="177">
        <f t="shared" ref="I70:J87" si="2">+G70-C70</f>
        <v>0</v>
      </c>
      <c r="J70" s="353">
        <f t="shared" si="2"/>
        <v>-1078139092.48</v>
      </c>
    </row>
    <row r="71" spans="1:11">
      <c r="A71" s="357" t="s">
        <v>233</v>
      </c>
      <c r="B71" s="357" t="s">
        <v>292</v>
      </c>
      <c r="C71" s="186">
        <v>9.5367431640625E-7</v>
      </c>
      <c r="D71" s="186">
        <v>0</v>
      </c>
      <c r="E71" s="186">
        <v>17025926</v>
      </c>
      <c r="F71" s="186">
        <v>198228696</v>
      </c>
      <c r="G71" s="186">
        <v>0</v>
      </c>
      <c r="H71" s="186">
        <v>181202769.99999905</v>
      </c>
      <c r="I71" s="177">
        <f t="shared" si="2"/>
        <v>-9.5367431640625E-7</v>
      </c>
      <c r="J71" s="330">
        <f t="shared" si="2"/>
        <v>181202769.99999905</v>
      </c>
    </row>
    <row r="72" spans="1:11">
      <c r="A72" s="357" t="s">
        <v>235</v>
      </c>
      <c r="B72" s="357" t="s">
        <v>236</v>
      </c>
      <c r="C72" s="186">
        <v>0</v>
      </c>
      <c r="D72" s="186">
        <v>139738471.31999999</v>
      </c>
      <c r="E72" s="186">
        <v>159057448.15000001</v>
      </c>
      <c r="F72" s="186">
        <v>19318976.829999998</v>
      </c>
      <c r="G72" s="186">
        <v>0</v>
      </c>
      <c r="H72" s="186">
        <v>0</v>
      </c>
      <c r="I72" s="177">
        <f t="shared" si="2"/>
        <v>0</v>
      </c>
      <c r="J72" s="330">
        <f t="shared" si="2"/>
        <v>-139738471.31999999</v>
      </c>
    </row>
    <row r="73" spans="1:11">
      <c r="A73" s="357" t="s">
        <v>237</v>
      </c>
      <c r="B73" s="357" t="s">
        <v>238</v>
      </c>
      <c r="C73" s="186">
        <v>0</v>
      </c>
      <c r="D73" s="186">
        <v>31417799.889999986</v>
      </c>
      <c r="E73" s="186">
        <v>261832047</v>
      </c>
      <c r="F73" s="186">
        <v>266503903.11000001</v>
      </c>
      <c r="G73" s="186">
        <v>0</v>
      </c>
      <c r="H73" s="186">
        <v>36089656</v>
      </c>
      <c r="I73" s="177">
        <f t="shared" si="2"/>
        <v>0</v>
      </c>
      <c r="J73" s="330">
        <f t="shared" si="2"/>
        <v>4671856.1100000143</v>
      </c>
    </row>
    <row r="74" spans="1:11">
      <c r="A74" s="357" t="s">
        <v>250</v>
      </c>
      <c r="B74" s="357" t="s">
        <v>251</v>
      </c>
      <c r="C74" s="186">
        <v>0</v>
      </c>
      <c r="D74" s="186">
        <v>129098980.00000001</v>
      </c>
      <c r="E74" s="186">
        <v>550324541.53999996</v>
      </c>
      <c r="F74" s="186">
        <v>484475561.54000002</v>
      </c>
      <c r="G74" s="186">
        <v>0</v>
      </c>
      <c r="H74" s="186">
        <v>63250000</v>
      </c>
      <c r="I74" s="177">
        <f t="shared" si="2"/>
        <v>0</v>
      </c>
      <c r="J74" s="330">
        <f t="shared" si="2"/>
        <v>-65848980.000000015</v>
      </c>
    </row>
    <row r="75" spans="1:11">
      <c r="A75" s="357" t="s">
        <v>240</v>
      </c>
      <c r="B75" s="357" t="s">
        <v>241</v>
      </c>
      <c r="C75" s="186">
        <v>0</v>
      </c>
      <c r="D75" s="186">
        <v>21286512</v>
      </c>
      <c r="E75" s="186">
        <v>251382807</v>
      </c>
      <c r="F75" s="186">
        <v>251486995.5</v>
      </c>
      <c r="G75" s="186">
        <v>0</v>
      </c>
      <c r="H75" s="186">
        <v>21390700.5</v>
      </c>
      <c r="I75" s="177">
        <f t="shared" si="2"/>
        <v>0</v>
      </c>
      <c r="J75" s="330">
        <f t="shared" si="2"/>
        <v>104188.5</v>
      </c>
    </row>
    <row r="76" spans="1:11">
      <c r="A76" s="357" t="s">
        <v>244</v>
      </c>
      <c r="B76" s="357" t="s">
        <v>245</v>
      </c>
      <c r="C76" s="186">
        <v>0</v>
      </c>
      <c r="D76" s="186">
        <v>2581632</v>
      </c>
      <c r="E76" s="186">
        <v>30487752</v>
      </c>
      <c r="F76" s="186">
        <v>30500388</v>
      </c>
      <c r="G76" s="186">
        <v>0</v>
      </c>
      <c r="H76" s="186">
        <v>2594268</v>
      </c>
      <c r="I76" s="177">
        <f t="shared" si="2"/>
        <v>0</v>
      </c>
      <c r="J76" s="330">
        <f t="shared" si="2"/>
        <v>12636</v>
      </c>
    </row>
    <row r="77" spans="1:11">
      <c r="A77" s="357" t="s">
        <v>248</v>
      </c>
      <c r="B77" s="357" t="s">
        <v>249</v>
      </c>
      <c r="C77" s="186">
        <v>0</v>
      </c>
      <c r="D77" s="186">
        <v>375453039.99999994</v>
      </c>
      <c r="E77" s="186">
        <v>783777823.64999998</v>
      </c>
      <c r="F77" s="186">
        <v>661625547.34000015</v>
      </c>
      <c r="G77" s="186">
        <v>0</v>
      </c>
      <c r="H77" s="186">
        <v>253300763.69</v>
      </c>
      <c r="I77" s="177">
        <f t="shared" si="2"/>
        <v>0</v>
      </c>
      <c r="J77" s="330">
        <f t="shared" si="2"/>
        <v>-122152276.30999994</v>
      </c>
    </row>
    <row r="78" spans="1:11">
      <c r="A78" s="357" t="s">
        <v>252</v>
      </c>
      <c r="B78" s="357" t="s">
        <v>253</v>
      </c>
      <c r="C78" s="186">
        <v>0</v>
      </c>
      <c r="D78" s="186">
        <v>0</v>
      </c>
      <c r="E78" s="186">
        <v>0</v>
      </c>
      <c r="F78" s="186">
        <v>0</v>
      </c>
      <c r="G78" s="186">
        <v>0</v>
      </c>
      <c r="H78" s="186">
        <v>0</v>
      </c>
      <c r="I78" s="177">
        <f t="shared" si="2"/>
        <v>0</v>
      </c>
      <c r="J78" s="330">
        <f t="shared" si="2"/>
        <v>0</v>
      </c>
    </row>
    <row r="79" spans="1:11">
      <c r="A79" s="357" t="s">
        <v>242</v>
      </c>
      <c r="B79" s="357" t="s">
        <v>243</v>
      </c>
      <c r="C79" s="186">
        <v>0</v>
      </c>
      <c r="D79" s="186">
        <v>7239040</v>
      </c>
      <c r="E79" s="186">
        <v>79814130.879999995</v>
      </c>
      <c r="F79" s="186">
        <v>86815300.879999995</v>
      </c>
      <c r="G79" s="186">
        <v>0</v>
      </c>
      <c r="H79" s="186">
        <v>14240210</v>
      </c>
      <c r="I79" s="177">
        <f t="shared" si="2"/>
        <v>0</v>
      </c>
      <c r="J79" s="330">
        <f t="shared" si="2"/>
        <v>7001170</v>
      </c>
      <c r="K79" s="190">
        <f>+SUM(J71:J79)</f>
        <v>-134747107.02000087</v>
      </c>
    </row>
    <row r="80" spans="1:11">
      <c r="A80" s="309" t="s">
        <v>246</v>
      </c>
      <c r="B80" s="309" t="s">
        <v>247</v>
      </c>
      <c r="C80" s="186">
        <v>0</v>
      </c>
      <c r="D80" s="186">
        <v>290706739.69000047</v>
      </c>
      <c r="E80" s="186">
        <v>378096234.2299999</v>
      </c>
      <c r="F80" s="186">
        <v>1336154759.1799998</v>
      </c>
      <c r="G80" s="186">
        <v>0</v>
      </c>
      <c r="H80" s="186">
        <v>1248765264.6400003</v>
      </c>
      <c r="I80" s="177">
        <f t="shared" si="2"/>
        <v>0</v>
      </c>
      <c r="J80" s="360">
        <f t="shared" si="2"/>
        <v>958058524.94999981</v>
      </c>
    </row>
    <row r="81" spans="1:12">
      <c r="A81" s="309" t="s">
        <v>293</v>
      </c>
      <c r="B81" s="309" t="s">
        <v>294</v>
      </c>
      <c r="C81" s="186">
        <v>0</v>
      </c>
      <c r="D81" s="186">
        <v>0</v>
      </c>
      <c r="E81" s="186">
        <v>0</v>
      </c>
      <c r="F81" s="186">
        <v>0</v>
      </c>
      <c r="G81" s="186">
        <v>0</v>
      </c>
      <c r="H81" s="186">
        <v>0</v>
      </c>
      <c r="I81" s="177">
        <f t="shared" si="2"/>
        <v>0</v>
      </c>
      <c r="J81" s="360">
        <f t="shared" si="2"/>
        <v>0</v>
      </c>
    </row>
    <row r="82" spans="1:12">
      <c r="A82" s="309" t="s">
        <v>254</v>
      </c>
      <c r="B82" s="309" t="s">
        <v>255</v>
      </c>
      <c r="C82" s="186">
        <v>0</v>
      </c>
      <c r="D82" s="186">
        <v>27040033.18</v>
      </c>
      <c r="E82" s="186">
        <v>27040033.18</v>
      </c>
      <c r="F82" s="186">
        <v>0</v>
      </c>
      <c r="G82" s="186">
        <v>0</v>
      </c>
      <c r="H82" s="186">
        <v>0</v>
      </c>
      <c r="I82" s="177">
        <f t="shared" si="2"/>
        <v>0</v>
      </c>
      <c r="J82" s="360">
        <f t="shared" si="2"/>
        <v>-27040033.18</v>
      </c>
      <c r="K82" s="190">
        <f>+SUM(J80:J82)</f>
        <v>931018491.76999986</v>
      </c>
    </row>
    <row r="83" spans="1:12">
      <c r="A83" s="364" t="s">
        <v>257</v>
      </c>
      <c r="B83" s="364" t="s">
        <v>258</v>
      </c>
      <c r="C83" s="186">
        <v>0</v>
      </c>
      <c r="D83" s="186">
        <v>100000000000</v>
      </c>
      <c r="E83" s="186">
        <v>0</v>
      </c>
      <c r="F83" s="186">
        <v>0</v>
      </c>
      <c r="G83" s="186">
        <v>0</v>
      </c>
      <c r="H83" s="186">
        <v>100000000000</v>
      </c>
      <c r="I83" s="365">
        <f t="shared" si="2"/>
        <v>0</v>
      </c>
      <c r="J83" s="365">
        <f t="shared" si="2"/>
        <v>0</v>
      </c>
    </row>
    <row r="84" spans="1:12">
      <c r="A84" s="364" t="s">
        <v>646</v>
      </c>
      <c r="B84" s="364" t="s">
        <v>647</v>
      </c>
      <c r="C84" s="186">
        <v>0</v>
      </c>
      <c r="D84" s="186">
        <v>0</v>
      </c>
      <c r="E84" s="186">
        <v>0</v>
      </c>
      <c r="F84" s="186">
        <v>707036480.42999995</v>
      </c>
      <c r="G84" s="186">
        <v>0</v>
      </c>
      <c r="H84" s="186">
        <v>707036480.42999995</v>
      </c>
      <c r="I84" s="365">
        <f t="shared" si="2"/>
        <v>0</v>
      </c>
      <c r="J84" s="365">
        <f t="shared" si="2"/>
        <v>707036480.42999995</v>
      </c>
    </row>
    <row r="85" spans="1:12">
      <c r="A85" s="364" t="s">
        <v>260</v>
      </c>
      <c r="B85" s="364" t="s">
        <v>261</v>
      </c>
      <c r="C85" s="186">
        <v>0</v>
      </c>
      <c r="D85" s="186">
        <v>191823715.77000001</v>
      </c>
      <c r="E85" s="186">
        <v>0</v>
      </c>
      <c r="F85" s="186">
        <v>3837217037.0900002</v>
      </c>
      <c r="G85" s="186">
        <v>0</v>
      </c>
      <c r="H85" s="186">
        <v>4029040752.8600001</v>
      </c>
      <c r="I85" s="365">
        <f t="shared" si="2"/>
        <v>0</v>
      </c>
      <c r="J85" s="365">
        <f t="shared" si="2"/>
        <v>3837217037.0900002</v>
      </c>
    </row>
    <row r="86" spans="1:12">
      <c r="A86" s="364" t="s">
        <v>263</v>
      </c>
      <c r="B86" s="364" t="s">
        <v>264</v>
      </c>
      <c r="C86" s="186">
        <v>0</v>
      </c>
      <c r="D86" s="186">
        <v>3764215550.0900002</v>
      </c>
      <c r="E86" s="186">
        <v>4091264105.52</v>
      </c>
      <c r="F86" s="186">
        <v>0</v>
      </c>
      <c r="G86" s="186">
        <v>327048555.43000001</v>
      </c>
      <c r="H86" s="186">
        <v>0</v>
      </c>
      <c r="I86" s="365">
        <f t="shared" si="2"/>
        <v>327048555.43000001</v>
      </c>
      <c r="J86" s="365">
        <f t="shared" si="2"/>
        <v>-3764215550.0900002</v>
      </c>
    </row>
    <row r="87" spans="1:12">
      <c r="A87" s="364" t="s">
        <v>627</v>
      </c>
      <c r="B87" s="364" t="s">
        <v>628</v>
      </c>
      <c r="C87" s="186">
        <v>0</v>
      </c>
      <c r="D87" s="186">
        <v>0</v>
      </c>
      <c r="E87" s="186">
        <v>4217204962.0900002</v>
      </c>
      <c r="F87" s="186">
        <v>4217204962.0900002</v>
      </c>
      <c r="G87" s="186">
        <v>0</v>
      </c>
      <c r="H87" s="186">
        <v>0</v>
      </c>
      <c r="I87" s="365">
        <f t="shared" si="2"/>
        <v>0</v>
      </c>
      <c r="J87" s="365">
        <f t="shared" si="2"/>
        <v>0</v>
      </c>
      <c r="K87" s="190">
        <f>+SUM(J83:J87)-SUM(I83:I87)</f>
        <v>452989412.0000003</v>
      </c>
      <c r="L87" s="103" t="s">
        <v>613</v>
      </c>
    </row>
    <row r="88" spans="1:12">
      <c r="A88" s="102"/>
      <c r="B88" s="102"/>
      <c r="C88" s="186">
        <f>SUM(C5:C87)</f>
        <v>162985274009.54001</v>
      </c>
      <c r="D88" s="186">
        <f t="shared" ref="D88:H88" si="3">SUM(D5:D87)</f>
        <v>162985274009.53998</v>
      </c>
      <c r="E88" s="186">
        <f t="shared" si="3"/>
        <v>1211609971428.5496</v>
      </c>
      <c r="F88" s="186">
        <f t="shared" si="3"/>
        <v>1208339485874.2903</v>
      </c>
      <c r="G88" s="186">
        <f t="shared" si="3"/>
        <v>184304854640.73999</v>
      </c>
      <c r="H88" s="186">
        <f t="shared" si="3"/>
        <v>181034369086.47998</v>
      </c>
      <c r="I88" s="177">
        <f>SUM(I5:I87)</f>
        <v>21319580631.200027</v>
      </c>
      <c r="J88" s="177">
        <f>SUM(J5:J87)</f>
        <v>18049095076.940018</v>
      </c>
      <c r="K88" s="190"/>
    </row>
    <row r="89" spans="1:12" s="176" customFormat="1" ht="12.75">
      <c r="C89" s="177"/>
      <c r="D89" s="177">
        <f>+C88-D88</f>
        <v>0</v>
      </c>
      <c r="E89" s="177"/>
      <c r="F89" s="177">
        <f>+E88-F88</f>
        <v>3270485554.2592773</v>
      </c>
      <c r="G89" s="177"/>
      <c r="H89" s="177">
        <f>+G88-H88</f>
        <v>3270485554.2600098</v>
      </c>
      <c r="I89" s="322">
        <f>+I88-J88</f>
        <v>3270485554.2600098</v>
      </c>
      <c r="K89" s="176" t="s">
        <v>613</v>
      </c>
    </row>
    <row r="90" spans="1:12" s="176" customFormat="1" ht="12.75">
      <c r="C90" s="177"/>
      <c r="D90" s="177"/>
      <c r="E90" s="177"/>
      <c r="F90" s="177"/>
      <c r="G90" s="177"/>
      <c r="H90" s="177"/>
    </row>
    <row r="91" spans="1:12" s="176" customFormat="1" ht="12.75">
      <c r="C91" s="177"/>
      <c r="D91" s="177"/>
      <c r="E91" s="177"/>
      <c r="F91" s="177"/>
      <c r="G91" s="177"/>
      <c r="H91" s="177"/>
    </row>
    <row r="92" spans="1:12">
      <c r="A92" s="102"/>
      <c r="B92" s="102"/>
      <c r="C92" s="186"/>
      <c r="D92" s="186"/>
      <c r="E92" s="186"/>
      <c r="F92" s="186"/>
      <c r="G92" s="186"/>
      <c r="H92" s="186"/>
      <c r="I92" s="176"/>
      <c r="J92" s="176"/>
    </row>
    <row r="93" spans="1:12">
      <c r="A93" s="102"/>
      <c r="B93" s="102"/>
      <c r="C93" s="186"/>
      <c r="D93" s="186"/>
      <c r="E93" s="186"/>
      <c r="F93" s="186"/>
      <c r="G93" s="186"/>
      <c r="H93" s="186"/>
      <c r="I93" s="176"/>
      <c r="J93" s="176"/>
    </row>
    <row r="94" spans="1:12" s="176" customFormat="1" ht="12.75">
      <c r="C94" s="177"/>
      <c r="D94" s="177"/>
      <c r="E94" s="450" t="s">
        <v>686</v>
      </c>
      <c r="F94" s="450"/>
      <c r="G94" s="177"/>
      <c r="H94" s="177"/>
    </row>
    <row r="95" spans="1:12">
      <c r="A95" s="102" t="s">
        <v>297</v>
      </c>
      <c r="B95" s="102" t="s">
        <v>298</v>
      </c>
      <c r="C95" s="186">
        <v>0</v>
      </c>
      <c r="D95" s="186">
        <v>0</v>
      </c>
      <c r="E95" s="186">
        <v>251317842</v>
      </c>
      <c r="F95" s="186">
        <v>414558</v>
      </c>
      <c r="G95" s="186">
        <v>250903284</v>
      </c>
      <c r="H95" s="186">
        <v>0</v>
      </c>
      <c r="I95" s="177">
        <f>+F95-E95</f>
        <v>-250903284</v>
      </c>
      <c r="J95" s="176"/>
    </row>
    <row r="96" spans="1:12">
      <c r="A96" s="102" t="s">
        <v>299</v>
      </c>
      <c r="B96" s="102" t="s">
        <v>300</v>
      </c>
      <c r="C96" s="186">
        <v>0</v>
      </c>
      <c r="D96" s="186">
        <v>0</v>
      </c>
      <c r="E96" s="186">
        <v>30430080</v>
      </c>
      <c r="F96" s="186">
        <v>0</v>
      </c>
      <c r="G96" s="186">
        <v>30430080</v>
      </c>
      <c r="H96" s="186">
        <v>0</v>
      </c>
      <c r="I96" s="177">
        <f t="shared" ref="I96:I159" si="4">+F96-E96</f>
        <v>-30430080</v>
      </c>
      <c r="J96" s="176"/>
    </row>
    <row r="97" spans="1:10">
      <c r="A97" s="102" t="s">
        <v>301</v>
      </c>
      <c r="B97" s="102" t="s">
        <v>302</v>
      </c>
      <c r="C97" s="186">
        <v>0</v>
      </c>
      <c r="D97" s="186">
        <v>0</v>
      </c>
      <c r="E97" s="186">
        <v>3520376.92</v>
      </c>
      <c r="F97" s="186">
        <v>0</v>
      </c>
      <c r="G97" s="186">
        <v>3520376.92</v>
      </c>
      <c r="H97" s="186">
        <v>0</v>
      </c>
      <c r="I97" s="177">
        <f t="shared" si="4"/>
        <v>-3520376.92</v>
      </c>
      <c r="J97" s="176"/>
    </row>
    <row r="98" spans="1:10">
      <c r="A98" s="102" t="s">
        <v>303</v>
      </c>
      <c r="B98" s="102" t="s">
        <v>304</v>
      </c>
      <c r="C98" s="186">
        <v>0</v>
      </c>
      <c r="D98" s="186">
        <v>0</v>
      </c>
      <c r="E98" s="186">
        <v>2160359677</v>
      </c>
      <c r="F98" s="186">
        <v>0</v>
      </c>
      <c r="G98" s="186">
        <v>2160359677</v>
      </c>
      <c r="H98" s="186">
        <v>0</v>
      </c>
      <c r="I98" s="177">
        <f t="shared" si="4"/>
        <v>-2160359677</v>
      </c>
      <c r="J98" s="176"/>
    </row>
    <row r="99" spans="1:10">
      <c r="A99" s="102" t="s">
        <v>307</v>
      </c>
      <c r="B99" s="102" t="s">
        <v>308</v>
      </c>
      <c r="C99" s="186">
        <v>0</v>
      </c>
      <c r="D99" s="186">
        <v>0</v>
      </c>
      <c r="E99" s="186">
        <v>68587567</v>
      </c>
      <c r="F99" s="186">
        <v>0</v>
      </c>
      <c r="G99" s="186">
        <v>68587567</v>
      </c>
      <c r="H99" s="186">
        <v>0</v>
      </c>
      <c r="I99" s="177">
        <f t="shared" si="4"/>
        <v>-68587567</v>
      </c>
      <c r="J99" s="176"/>
    </row>
    <row r="100" spans="1:10">
      <c r="A100" s="102" t="s">
        <v>311</v>
      </c>
      <c r="B100" s="102" t="s">
        <v>312</v>
      </c>
      <c r="C100" s="186">
        <v>0</v>
      </c>
      <c r="D100" s="186">
        <v>0</v>
      </c>
      <c r="E100" s="186">
        <v>117745095.83000004</v>
      </c>
      <c r="F100" s="186">
        <v>0</v>
      </c>
      <c r="G100" s="186">
        <v>117745095.83000004</v>
      </c>
      <c r="H100" s="186">
        <v>0</v>
      </c>
      <c r="I100" s="177">
        <f t="shared" si="4"/>
        <v>-117745095.83000004</v>
      </c>
      <c r="J100" s="176"/>
    </row>
    <row r="101" spans="1:10">
      <c r="A101" s="102" t="s">
        <v>313</v>
      </c>
      <c r="B101" s="102" t="s">
        <v>314</v>
      </c>
      <c r="C101" s="186">
        <v>0</v>
      </c>
      <c r="D101" s="186">
        <v>0</v>
      </c>
      <c r="E101" s="186">
        <v>4652000</v>
      </c>
      <c r="F101" s="186">
        <v>0</v>
      </c>
      <c r="G101" s="186">
        <v>4652000</v>
      </c>
      <c r="H101" s="186">
        <v>0</v>
      </c>
      <c r="I101" s="177">
        <f t="shared" si="4"/>
        <v>-4652000</v>
      </c>
      <c r="J101" s="176"/>
    </row>
    <row r="102" spans="1:10">
      <c r="A102" s="102" t="s">
        <v>315</v>
      </c>
      <c r="B102" s="102" t="s">
        <v>316</v>
      </c>
      <c r="C102" s="186">
        <v>0</v>
      </c>
      <c r="D102" s="186">
        <v>0</v>
      </c>
      <c r="E102" s="186">
        <v>208083871</v>
      </c>
      <c r="F102" s="186">
        <v>0</v>
      </c>
      <c r="G102" s="186">
        <v>208083871</v>
      </c>
      <c r="H102" s="186">
        <v>0</v>
      </c>
      <c r="I102" s="177">
        <f t="shared" si="4"/>
        <v>-208083871</v>
      </c>
      <c r="J102" s="176"/>
    </row>
    <row r="103" spans="1:10">
      <c r="A103" s="102" t="s">
        <v>317</v>
      </c>
      <c r="B103" s="102" t="s">
        <v>318</v>
      </c>
      <c r="C103" s="186">
        <v>0</v>
      </c>
      <c r="D103" s="186">
        <v>0</v>
      </c>
      <c r="E103" s="186">
        <v>107000000</v>
      </c>
      <c r="F103" s="186">
        <v>0</v>
      </c>
      <c r="G103" s="186">
        <v>107000000</v>
      </c>
      <c r="H103" s="186">
        <v>0</v>
      </c>
      <c r="I103" s="177">
        <f t="shared" si="4"/>
        <v>-107000000</v>
      </c>
      <c r="J103" s="176"/>
    </row>
    <row r="104" spans="1:10">
      <c r="A104" s="102" t="s">
        <v>319</v>
      </c>
      <c r="B104" s="102" t="s">
        <v>320</v>
      </c>
      <c r="C104" s="186">
        <v>0</v>
      </c>
      <c r="D104" s="186">
        <v>0</v>
      </c>
      <c r="E104" s="186">
        <v>51105263</v>
      </c>
      <c r="F104" s="186">
        <v>0</v>
      </c>
      <c r="G104" s="186">
        <v>51105263</v>
      </c>
      <c r="H104" s="186">
        <v>0</v>
      </c>
      <c r="I104" s="177">
        <f t="shared" si="4"/>
        <v>-51105263</v>
      </c>
      <c r="J104" s="176"/>
    </row>
    <row r="105" spans="1:10">
      <c r="A105" s="102" t="s">
        <v>321</v>
      </c>
      <c r="B105" s="102" t="s">
        <v>322</v>
      </c>
      <c r="C105" s="186">
        <v>0</v>
      </c>
      <c r="D105" s="186">
        <v>0</v>
      </c>
      <c r="E105" s="186">
        <v>77527320</v>
      </c>
      <c r="F105" s="186">
        <v>0</v>
      </c>
      <c r="G105" s="186">
        <v>77527320</v>
      </c>
      <c r="H105" s="186">
        <v>0</v>
      </c>
      <c r="I105" s="177">
        <f t="shared" si="4"/>
        <v>-77527320</v>
      </c>
      <c r="J105" s="176"/>
    </row>
    <row r="106" spans="1:10">
      <c r="A106" s="102" t="s">
        <v>327</v>
      </c>
      <c r="B106" s="102" t="s">
        <v>328</v>
      </c>
      <c r="C106" s="186">
        <v>0</v>
      </c>
      <c r="D106" s="186">
        <v>0</v>
      </c>
      <c r="E106" s="186">
        <v>7149000</v>
      </c>
      <c r="F106" s="186">
        <v>0</v>
      </c>
      <c r="G106" s="186">
        <v>7149000</v>
      </c>
      <c r="H106" s="186">
        <v>0</v>
      </c>
      <c r="I106" s="177">
        <f t="shared" si="4"/>
        <v>-7149000</v>
      </c>
      <c r="J106" s="176"/>
    </row>
    <row r="107" spans="1:10">
      <c r="A107" s="102" t="s">
        <v>329</v>
      </c>
      <c r="B107" s="102" t="s">
        <v>330</v>
      </c>
      <c r="C107" s="186">
        <v>0</v>
      </c>
      <c r="D107" s="186">
        <v>0</v>
      </c>
      <c r="E107" s="186">
        <v>10379140</v>
      </c>
      <c r="F107" s="186">
        <v>0</v>
      </c>
      <c r="G107" s="186">
        <v>10379140</v>
      </c>
      <c r="H107" s="186">
        <v>0</v>
      </c>
      <c r="I107" s="177">
        <f t="shared" si="4"/>
        <v>-10379140</v>
      </c>
      <c r="J107" s="176"/>
    </row>
    <row r="108" spans="1:10">
      <c r="A108" s="102" t="s">
        <v>331</v>
      </c>
      <c r="B108" s="102" t="s">
        <v>332</v>
      </c>
      <c r="C108" s="186">
        <v>0</v>
      </c>
      <c r="D108" s="186">
        <v>0</v>
      </c>
      <c r="E108" s="186">
        <v>28538000</v>
      </c>
      <c r="F108" s="186">
        <v>0</v>
      </c>
      <c r="G108" s="186">
        <v>28538000</v>
      </c>
      <c r="H108" s="186">
        <v>0</v>
      </c>
      <c r="I108" s="177">
        <f t="shared" si="4"/>
        <v>-28538000</v>
      </c>
      <c r="J108" s="176"/>
    </row>
    <row r="109" spans="1:10">
      <c r="A109" s="102" t="s">
        <v>333</v>
      </c>
      <c r="B109" s="102" t="s">
        <v>334</v>
      </c>
      <c r="C109" s="186">
        <v>0</v>
      </c>
      <c r="D109" s="186">
        <v>0</v>
      </c>
      <c r="E109" s="186">
        <v>39000000</v>
      </c>
      <c r="F109" s="186">
        <v>0</v>
      </c>
      <c r="G109" s="186">
        <v>39000000</v>
      </c>
      <c r="H109" s="186">
        <v>0</v>
      </c>
      <c r="I109" s="177">
        <f t="shared" si="4"/>
        <v>-39000000</v>
      </c>
      <c r="J109" s="176"/>
    </row>
    <row r="110" spans="1:10">
      <c r="A110" s="102" t="s">
        <v>335</v>
      </c>
      <c r="B110" s="102" t="s">
        <v>336</v>
      </c>
      <c r="C110" s="186">
        <v>0</v>
      </c>
      <c r="D110" s="186">
        <v>0</v>
      </c>
      <c r="E110" s="186">
        <v>97580000</v>
      </c>
      <c r="F110" s="186">
        <v>0</v>
      </c>
      <c r="G110" s="186">
        <v>97580000</v>
      </c>
      <c r="H110" s="186">
        <v>0</v>
      </c>
      <c r="I110" s="177">
        <f t="shared" si="4"/>
        <v>-97580000</v>
      </c>
      <c r="J110" s="176"/>
    </row>
    <row r="111" spans="1:10">
      <c r="A111" s="102" t="s">
        <v>337</v>
      </c>
      <c r="B111" s="102" t="s">
        <v>338</v>
      </c>
      <c r="C111" s="186">
        <v>0</v>
      </c>
      <c r="D111" s="186">
        <v>0</v>
      </c>
      <c r="E111" s="186">
        <v>1362000</v>
      </c>
      <c r="F111" s="186">
        <v>0</v>
      </c>
      <c r="G111" s="186">
        <v>1362000</v>
      </c>
      <c r="H111" s="186">
        <v>0</v>
      </c>
      <c r="I111" s="177">
        <f t="shared" si="4"/>
        <v>-1362000</v>
      </c>
      <c r="J111" s="176"/>
    </row>
    <row r="112" spans="1:10">
      <c r="A112" s="102" t="s">
        <v>341</v>
      </c>
      <c r="B112" s="102" t="s">
        <v>342</v>
      </c>
      <c r="C112" s="186">
        <v>0</v>
      </c>
      <c r="D112" s="186">
        <v>0</v>
      </c>
      <c r="E112" s="186">
        <v>484309290.21999949</v>
      </c>
      <c r="F112" s="186">
        <v>0</v>
      </c>
      <c r="G112" s="186">
        <v>484309290.21999949</v>
      </c>
      <c r="H112" s="186">
        <v>0</v>
      </c>
      <c r="I112" s="177">
        <f t="shared" si="4"/>
        <v>-484309290.21999949</v>
      </c>
      <c r="J112" s="176"/>
    </row>
    <row r="113" spans="1:10">
      <c r="A113" s="102" t="s">
        <v>343</v>
      </c>
      <c r="B113" s="102" t="s">
        <v>344</v>
      </c>
      <c r="C113" s="186">
        <v>0</v>
      </c>
      <c r="D113" s="186">
        <v>0</v>
      </c>
      <c r="E113" s="186">
        <v>178000</v>
      </c>
      <c r="F113" s="186">
        <v>0</v>
      </c>
      <c r="G113" s="186">
        <v>178000</v>
      </c>
      <c r="H113" s="186">
        <v>0</v>
      </c>
      <c r="I113" s="177">
        <f t="shared" si="4"/>
        <v>-178000</v>
      </c>
      <c r="J113" s="176"/>
    </row>
    <row r="114" spans="1:10">
      <c r="A114" s="102" t="s">
        <v>345</v>
      </c>
      <c r="B114" s="102" t="s">
        <v>346</v>
      </c>
      <c r="C114" s="186">
        <v>0</v>
      </c>
      <c r="D114" s="186">
        <v>0</v>
      </c>
      <c r="E114" s="186">
        <v>16974780</v>
      </c>
      <c r="F114" s="186">
        <v>0</v>
      </c>
      <c r="G114" s="186">
        <v>16974780</v>
      </c>
      <c r="H114" s="186">
        <v>0</v>
      </c>
      <c r="I114" s="177">
        <f t="shared" si="4"/>
        <v>-16974780</v>
      </c>
      <c r="J114" s="176"/>
    </row>
    <row r="115" spans="1:10">
      <c r="A115" s="102" t="s">
        <v>347</v>
      </c>
      <c r="B115" s="102" t="s">
        <v>348</v>
      </c>
      <c r="C115" s="186">
        <v>0</v>
      </c>
      <c r="D115" s="186">
        <v>0</v>
      </c>
      <c r="E115" s="186">
        <v>1420000</v>
      </c>
      <c r="F115" s="186">
        <v>0</v>
      </c>
      <c r="G115" s="186">
        <v>1420000</v>
      </c>
      <c r="H115" s="186">
        <v>0</v>
      </c>
      <c r="I115" s="177">
        <f t="shared" si="4"/>
        <v>-1420000</v>
      </c>
      <c r="J115" s="176"/>
    </row>
    <row r="116" spans="1:10">
      <c r="A116" s="102" t="s">
        <v>349</v>
      </c>
      <c r="B116" s="102" t="s">
        <v>350</v>
      </c>
      <c r="C116" s="186">
        <v>0</v>
      </c>
      <c r="D116" s="186">
        <v>0</v>
      </c>
      <c r="E116" s="186">
        <v>187269717.13</v>
      </c>
      <c r="F116" s="186">
        <v>187269717.13</v>
      </c>
      <c r="G116" s="186">
        <v>0</v>
      </c>
      <c r="H116" s="186">
        <v>0</v>
      </c>
      <c r="I116" s="177">
        <f t="shared" si="4"/>
        <v>0</v>
      </c>
      <c r="J116" s="176"/>
    </row>
    <row r="117" spans="1:10">
      <c r="A117" s="102" t="s">
        <v>351</v>
      </c>
      <c r="B117" s="102" t="s">
        <v>352</v>
      </c>
      <c r="C117" s="186">
        <v>0</v>
      </c>
      <c r="D117" s="186">
        <v>0</v>
      </c>
      <c r="E117" s="186">
        <v>124846455.74999999</v>
      </c>
      <c r="F117" s="186">
        <v>124846455.75</v>
      </c>
      <c r="G117" s="186">
        <v>0</v>
      </c>
      <c r="H117" s="186">
        <v>1.9073486328125E-8</v>
      </c>
      <c r="I117" s="177">
        <f t="shared" si="4"/>
        <v>0</v>
      </c>
      <c r="J117" s="176"/>
    </row>
    <row r="118" spans="1:10">
      <c r="A118" s="102" t="s">
        <v>353</v>
      </c>
      <c r="B118" s="102" t="s">
        <v>354</v>
      </c>
      <c r="C118" s="186">
        <v>0</v>
      </c>
      <c r="D118" s="186">
        <v>0</v>
      </c>
      <c r="E118" s="186">
        <v>126846455.74999999</v>
      </c>
      <c r="F118" s="186">
        <v>124846455.75</v>
      </c>
      <c r="G118" s="186">
        <v>1999999.9999999809</v>
      </c>
      <c r="H118" s="186">
        <v>0</v>
      </c>
      <c r="I118" s="177">
        <f t="shared" si="4"/>
        <v>-1999999.9999999851</v>
      </c>
      <c r="J118" s="176"/>
    </row>
    <row r="119" spans="1:10">
      <c r="A119" s="102" t="s">
        <v>355</v>
      </c>
      <c r="B119" s="102" t="s">
        <v>356</v>
      </c>
      <c r="C119" s="186">
        <v>0</v>
      </c>
      <c r="D119" s="186">
        <v>0</v>
      </c>
      <c r="E119" s="186">
        <v>187665210</v>
      </c>
      <c r="F119" s="186">
        <v>187665210</v>
      </c>
      <c r="G119" s="186">
        <v>0</v>
      </c>
      <c r="H119" s="186">
        <v>0</v>
      </c>
      <c r="I119" s="177">
        <f t="shared" si="4"/>
        <v>0</v>
      </c>
      <c r="J119" s="176"/>
    </row>
    <row r="120" spans="1:10">
      <c r="A120" s="102" t="s">
        <v>357</v>
      </c>
      <c r="B120" s="102" t="s">
        <v>358</v>
      </c>
      <c r="C120" s="186">
        <v>0</v>
      </c>
      <c r="D120" s="186">
        <v>0</v>
      </c>
      <c r="E120" s="186">
        <v>249692979.48999995</v>
      </c>
      <c r="F120" s="186">
        <v>249692979.49000001</v>
      </c>
      <c r="G120" s="186">
        <v>0</v>
      </c>
      <c r="H120" s="186">
        <v>3.8146972656250001E-8</v>
      </c>
      <c r="I120" s="177">
        <f t="shared" si="4"/>
        <v>0</v>
      </c>
      <c r="J120" s="176"/>
    </row>
    <row r="121" spans="1:10">
      <c r="A121" s="102" t="s">
        <v>359</v>
      </c>
      <c r="B121" s="102" t="s">
        <v>360</v>
      </c>
      <c r="C121" s="186">
        <v>0</v>
      </c>
      <c r="D121" s="186">
        <v>0</v>
      </c>
      <c r="E121" s="186">
        <v>30794059.170000002</v>
      </c>
      <c r="F121" s="186">
        <v>0</v>
      </c>
      <c r="G121" s="186">
        <v>30794059.170000002</v>
      </c>
      <c r="H121" s="186">
        <v>0</v>
      </c>
      <c r="I121" s="177">
        <f t="shared" si="4"/>
        <v>-30794059.170000002</v>
      </c>
      <c r="J121" s="176"/>
    </row>
    <row r="122" spans="1:10">
      <c r="A122" s="102" t="s">
        <v>361</v>
      </c>
      <c r="B122" s="102" t="s">
        <v>362</v>
      </c>
      <c r="C122" s="186">
        <v>0</v>
      </c>
      <c r="D122" s="186">
        <v>0</v>
      </c>
      <c r="E122" s="186">
        <v>1286755862.6499999</v>
      </c>
      <c r="F122" s="186">
        <v>87389494.540000007</v>
      </c>
      <c r="G122" s="186">
        <v>1199366368.1099999</v>
      </c>
      <c r="H122" s="186">
        <v>0</v>
      </c>
      <c r="I122" s="177">
        <f t="shared" si="4"/>
        <v>-1199366368.1099999</v>
      </c>
      <c r="J122" s="176"/>
    </row>
    <row r="123" spans="1:10">
      <c r="A123" s="102" t="s">
        <v>363</v>
      </c>
      <c r="B123" s="102" t="s">
        <v>364</v>
      </c>
      <c r="C123" s="186">
        <v>0</v>
      </c>
      <c r="D123" s="186">
        <v>0</v>
      </c>
      <c r="E123" s="186">
        <v>98895000</v>
      </c>
      <c r="F123" s="186">
        <v>19055750</v>
      </c>
      <c r="G123" s="186">
        <v>79839250</v>
      </c>
      <c r="H123" s="186">
        <v>0</v>
      </c>
      <c r="I123" s="177">
        <f t="shared" si="4"/>
        <v>-79839250</v>
      </c>
      <c r="J123" s="176"/>
    </row>
    <row r="124" spans="1:10">
      <c r="A124" s="102" t="s">
        <v>365</v>
      </c>
      <c r="B124" s="102" t="s">
        <v>366</v>
      </c>
      <c r="C124" s="186">
        <v>0</v>
      </c>
      <c r="D124" s="186">
        <v>0</v>
      </c>
      <c r="E124" s="186">
        <v>20496080</v>
      </c>
      <c r="F124" s="186">
        <v>0</v>
      </c>
      <c r="G124" s="186">
        <v>20496080</v>
      </c>
      <c r="H124" s="186">
        <v>0</v>
      </c>
      <c r="I124" s="177">
        <f t="shared" si="4"/>
        <v>-20496080</v>
      </c>
      <c r="J124" s="176"/>
    </row>
    <row r="125" spans="1:10">
      <c r="A125" s="102" t="s">
        <v>367</v>
      </c>
      <c r="B125" s="102" t="s">
        <v>368</v>
      </c>
      <c r="C125" s="186">
        <v>0</v>
      </c>
      <c r="D125" s="186">
        <v>0</v>
      </c>
      <c r="E125" s="186">
        <v>6000000</v>
      </c>
      <c r="F125" s="186">
        <v>0</v>
      </c>
      <c r="G125" s="186">
        <v>6000000</v>
      </c>
      <c r="H125" s="186">
        <v>0</v>
      </c>
      <c r="I125" s="177">
        <f t="shared" si="4"/>
        <v>-6000000</v>
      </c>
      <c r="J125" s="176"/>
    </row>
    <row r="126" spans="1:10">
      <c r="A126" s="102" t="s">
        <v>369</v>
      </c>
      <c r="B126" s="102" t="s">
        <v>370</v>
      </c>
      <c r="C126" s="186">
        <v>0</v>
      </c>
      <c r="D126" s="186">
        <v>0</v>
      </c>
      <c r="E126" s="186">
        <v>619418400</v>
      </c>
      <c r="F126" s="186">
        <v>0</v>
      </c>
      <c r="G126" s="186">
        <v>619418400</v>
      </c>
      <c r="H126" s="186">
        <v>0</v>
      </c>
      <c r="I126" s="177">
        <f t="shared" si="4"/>
        <v>-619418400</v>
      </c>
      <c r="J126" s="176"/>
    </row>
    <row r="127" spans="1:10">
      <c r="A127" s="102" t="s">
        <v>677</v>
      </c>
      <c r="B127" s="102" t="s">
        <v>678</v>
      </c>
      <c r="C127" s="186">
        <v>0</v>
      </c>
      <c r="D127" s="186">
        <v>0</v>
      </c>
      <c r="E127" s="186">
        <v>173632811.81</v>
      </c>
      <c r="F127" s="186">
        <v>269156.20999999996</v>
      </c>
      <c r="G127" s="186">
        <v>173363655.59999999</v>
      </c>
      <c r="H127" s="186">
        <v>0</v>
      </c>
      <c r="I127" s="177">
        <f t="shared" si="4"/>
        <v>-173363655.59999999</v>
      </c>
      <c r="J127" s="176"/>
    </row>
    <row r="128" spans="1:10">
      <c r="A128" s="102" t="s">
        <v>375</v>
      </c>
      <c r="B128" s="102" t="s">
        <v>376</v>
      </c>
      <c r="C128" s="186">
        <v>0</v>
      </c>
      <c r="D128" s="186">
        <v>0</v>
      </c>
      <c r="E128" s="186">
        <v>55440000</v>
      </c>
      <c r="F128" s="186">
        <v>2300000</v>
      </c>
      <c r="G128" s="186">
        <v>53140000</v>
      </c>
      <c r="H128" s="186">
        <v>0</v>
      </c>
      <c r="I128" s="177">
        <f t="shared" si="4"/>
        <v>-53140000</v>
      </c>
      <c r="J128" s="176"/>
    </row>
    <row r="129" spans="1:10">
      <c r="A129" s="102" t="s">
        <v>377</v>
      </c>
      <c r="B129" s="102" t="s">
        <v>378</v>
      </c>
      <c r="C129" s="186">
        <v>0</v>
      </c>
      <c r="D129" s="186">
        <v>0</v>
      </c>
      <c r="E129" s="186">
        <v>42925000</v>
      </c>
      <c r="F129" s="186">
        <v>0</v>
      </c>
      <c r="G129" s="186">
        <v>42925000</v>
      </c>
      <c r="H129" s="186">
        <v>0</v>
      </c>
      <c r="I129" s="177">
        <f t="shared" si="4"/>
        <v>-42925000</v>
      </c>
      <c r="J129" s="176"/>
    </row>
    <row r="130" spans="1:10">
      <c r="A130" s="102" t="s">
        <v>379</v>
      </c>
      <c r="B130" s="102" t="s">
        <v>380</v>
      </c>
      <c r="C130" s="186">
        <v>0</v>
      </c>
      <c r="D130" s="186">
        <v>0</v>
      </c>
      <c r="E130" s="186">
        <v>19753200</v>
      </c>
      <c r="F130" s="186">
        <v>0</v>
      </c>
      <c r="G130" s="186">
        <v>19753200</v>
      </c>
      <c r="H130" s="186">
        <v>0</v>
      </c>
      <c r="I130" s="177">
        <f t="shared" si="4"/>
        <v>-19753200</v>
      </c>
      <c r="J130" s="176"/>
    </row>
    <row r="131" spans="1:10">
      <c r="A131" s="102" t="s">
        <v>381</v>
      </c>
      <c r="B131" s="102" t="s">
        <v>382</v>
      </c>
      <c r="C131" s="186">
        <v>0</v>
      </c>
      <c r="D131" s="186">
        <v>0</v>
      </c>
      <c r="E131" s="186">
        <v>70000</v>
      </c>
      <c r="F131" s="186">
        <v>0</v>
      </c>
      <c r="G131" s="186">
        <v>70000</v>
      </c>
      <c r="H131" s="186">
        <v>0</v>
      </c>
      <c r="I131" s="177">
        <f t="shared" si="4"/>
        <v>-70000</v>
      </c>
      <c r="J131" s="176"/>
    </row>
    <row r="132" spans="1:10">
      <c r="A132" s="102" t="s">
        <v>383</v>
      </c>
      <c r="B132" s="102" t="s">
        <v>384</v>
      </c>
      <c r="C132" s="186">
        <v>0</v>
      </c>
      <c r="D132" s="186">
        <v>0</v>
      </c>
      <c r="E132" s="186">
        <v>7370000</v>
      </c>
      <c r="F132" s="186">
        <v>0</v>
      </c>
      <c r="G132" s="186">
        <v>7370000</v>
      </c>
      <c r="H132" s="186">
        <v>0</v>
      </c>
      <c r="I132" s="177">
        <f t="shared" si="4"/>
        <v>-7370000</v>
      </c>
      <c r="J132" s="176"/>
    </row>
    <row r="133" spans="1:10">
      <c r="A133" s="102" t="s">
        <v>385</v>
      </c>
      <c r="B133" s="102" t="s">
        <v>386</v>
      </c>
      <c r="C133" s="186">
        <v>0</v>
      </c>
      <c r="D133" s="186">
        <v>0</v>
      </c>
      <c r="E133" s="186">
        <v>44842068.119999997</v>
      </c>
      <c r="F133" s="186">
        <v>0</v>
      </c>
      <c r="G133" s="186">
        <v>44842068.119999997</v>
      </c>
      <c r="H133" s="186">
        <v>0</v>
      </c>
      <c r="I133" s="177">
        <f t="shared" si="4"/>
        <v>-44842068.119999997</v>
      </c>
      <c r="J133" s="176"/>
    </row>
    <row r="134" spans="1:10">
      <c r="A134" s="102" t="s">
        <v>387</v>
      </c>
      <c r="B134" s="102" t="s">
        <v>388</v>
      </c>
      <c r="C134" s="186">
        <v>0</v>
      </c>
      <c r="D134" s="186">
        <v>0</v>
      </c>
      <c r="E134" s="186">
        <v>7154498.0099999998</v>
      </c>
      <c r="F134" s="186">
        <v>0</v>
      </c>
      <c r="G134" s="186">
        <v>7154498.0099999998</v>
      </c>
      <c r="H134" s="186">
        <v>0</v>
      </c>
      <c r="I134" s="177">
        <f t="shared" si="4"/>
        <v>-7154498.0099999998</v>
      </c>
      <c r="J134" s="176"/>
    </row>
    <row r="135" spans="1:10">
      <c r="A135" s="102" t="s">
        <v>389</v>
      </c>
      <c r="B135" s="102" t="s">
        <v>390</v>
      </c>
      <c r="C135" s="186">
        <v>0</v>
      </c>
      <c r="D135" s="186">
        <v>0</v>
      </c>
      <c r="E135" s="186">
        <v>26001.8</v>
      </c>
      <c r="F135" s="186">
        <v>0.82</v>
      </c>
      <c r="G135" s="186">
        <v>26000.98</v>
      </c>
      <c r="H135" s="186">
        <v>0</v>
      </c>
      <c r="I135" s="177">
        <f t="shared" si="4"/>
        <v>-26000.98</v>
      </c>
      <c r="J135" s="176"/>
    </row>
    <row r="136" spans="1:10">
      <c r="A136" s="102" t="s">
        <v>391</v>
      </c>
      <c r="B136" s="102" t="s">
        <v>392</v>
      </c>
      <c r="C136" s="186">
        <v>0</v>
      </c>
      <c r="D136" s="186">
        <v>0</v>
      </c>
      <c r="E136" s="186">
        <v>28532000</v>
      </c>
      <c r="F136" s="186">
        <v>0</v>
      </c>
      <c r="G136" s="186">
        <v>28532000</v>
      </c>
      <c r="H136" s="186">
        <v>0</v>
      </c>
      <c r="I136" s="177">
        <f t="shared" si="4"/>
        <v>-28532000</v>
      </c>
      <c r="J136" s="176"/>
    </row>
    <row r="137" spans="1:10">
      <c r="A137" s="102" t="s">
        <v>393</v>
      </c>
      <c r="B137" s="102" t="s">
        <v>394</v>
      </c>
      <c r="C137" s="186">
        <v>0</v>
      </c>
      <c r="D137" s="186">
        <v>0</v>
      </c>
      <c r="E137" s="186">
        <v>47611500</v>
      </c>
      <c r="F137" s="186">
        <v>0</v>
      </c>
      <c r="G137" s="186">
        <v>47611500</v>
      </c>
      <c r="H137" s="186">
        <v>0</v>
      </c>
      <c r="I137" s="177">
        <f t="shared" si="4"/>
        <v>-47611500</v>
      </c>
      <c r="J137" s="176"/>
    </row>
    <row r="138" spans="1:10">
      <c r="A138" s="102" t="s">
        <v>395</v>
      </c>
      <c r="B138" s="102" t="s">
        <v>396</v>
      </c>
      <c r="C138" s="186">
        <v>0</v>
      </c>
      <c r="D138" s="186">
        <v>0</v>
      </c>
      <c r="E138" s="186">
        <v>21808496.890000004</v>
      </c>
      <c r="F138" s="186">
        <v>0</v>
      </c>
      <c r="G138" s="186">
        <v>21808496.890000004</v>
      </c>
      <c r="H138" s="186">
        <v>0</v>
      </c>
      <c r="I138" s="177">
        <f t="shared" si="4"/>
        <v>-21808496.890000004</v>
      </c>
      <c r="J138" s="176"/>
    </row>
    <row r="139" spans="1:10">
      <c r="A139" s="102" t="s">
        <v>397</v>
      </c>
      <c r="B139" s="102" t="s">
        <v>398</v>
      </c>
      <c r="C139" s="186">
        <v>0</v>
      </c>
      <c r="D139" s="186">
        <v>0</v>
      </c>
      <c r="E139" s="186">
        <v>20799000</v>
      </c>
      <c r="F139" s="186">
        <v>0</v>
      </c>
      <c r="G139" s="186">
        <v>20799000</v>
      </c>
      <c r="H139" s="186">
        <v>0</v>
      </c>
      <c r="I139" s="177">
        <f t="shared" si="4"/>
        <v>-20799000</v>
      </c>
      <c r="J139" s="176"/>
    </row>
    <row r="140" spans="1:10">
      <c r="A140" s="102" t="s">
        <v>401</v>
      </c>
      <c r="B140" s="102" t="s">
        <v>402</v>
      </c>
      <c r="C140" s="186">
        <v>0</v>
      </c>
      <c r="D140" s="186">
        <v>0</v>
      </c>
      <c r="E140" s="186">
        <v>54573078.069999993</v>
      </c>
      <c r="F140" s="186">
        <v>0</v>
      </c>
      <c r="G140" s="186">
        <v>54573078.069999993</v>
      </c>
      <c r="H140" s="186">
        <v>0</v>
      </c>
      <c r="I140" s="177">
        <f t="shared" si="4"/>
        <v>-54573078.069999993</v>
      </c>
      <c r="J140" s="176"/>
    </row>
    <row r="141" spans="1:10">
      <c r="A141" s="102" t="s">
        <v>403</v>
      </c>
      <c r="B141" s="102" t="s">
        <v>404</v>
      </c>
      <c r="C141" s="186">
        <v>0</v>
      </c>
      <c r="D141" s="186">
        <v>0</v>
      </c>
      <c r="E141" s="186">
        <v>1862000</v>
      </c>
      <c r="F141" s="186">
        <v>0</v>
      </c>
      <c r="G141" s="186">
        <v>1862000</v>
      </c>
      <c r="H141" s="186">
        <v>0</v>
      </c>
      <c r="I141" s="177">
        <f t="shared" si="4"/>
        <v>-1862000</v>
      </c>
      <c r="J141" s="176"/>
    </row>
    <row r="142" spans="1:10">
      <c r="A142" s="102" t="s">
        <v>405</v>
      </c>
      <c r="B142" s="102" t="s">
        <v>406</v>
      </c>
      <c r="C142" s="186">
        <v>0</v>
      </c>
      <c r="D142" s="186">
        <v>0</v>
      </c>
      <c r="E142" s="186">
        <v>28948340</v>
      </c>
      <c r="F142" s="186">
        <v>13164133</v>
      </c>
      <c r="G142" s="186">
        <v>15784207</v>
      </c>
      <c r="H142" s="186">
        <v>0</v>
      </c>
      <c r="I142" s="177">
        <f t="shared" si="4"/>
        <v>-15784207</v>
      </c>
      <c r="J142" s="176"/>
    </row>
    <row r="143" spans="1:10">
      <c r="A143" s="102" t="s">
        <v>407</v>
      </c>
      <c r="B143" s="102" t="s">
        <v>408</v>
      </c>
      <c r="C143" s="186">
        <v>0</v>
      </c>
      <c r="D143" s="186">
        <v>0</v>
      </c>
      <c r="E143" s="186">
        <v>45336888</v>
      </c>
      <c r="F143" s="186">
        <v>1445911</v>
      </c>
      <c r="G143" s="186">
        <v>43890977</v>
      </c>
      <c r="H143" s="186">
        <v>0</v>
      </c>
      <c r="I143" s="177">
        <f t="shared" si="4"/>
        <v>-43890977</v>
      </c>
      <c r="J143" s="176"/>
    </row>
    <row r="144" spans="1:10">
      <c r="A144" s="102" t="s">
        <v>409</v>
      </c>
      <c r="B144" s="102" t="s">
        <v>410</v>
      </c>
      <c r="C144" s="186">
        <v>0</v>
      </c>
      <c r="D144" s="186">
        <v>0</v>
      </c>
      <c r="E144" s="186">
        <v>131415000</v>
      </c>
      <c r="F144" s="186">
        <v>4800000</v>
      </c>
      <c r="G144" s="186">
        <v>126615000</v>
      </c>
      <c r="H144" s="186">
        <v>0</v>
      </c>
      <c r="I144" s="177">
        <f t="shared" si="4"/>
        <v>-126615000</v>
      </c>
      <c r="J144" s="176"/>
    </row>
    <row r="145" spans="1:10">
      <c r="A145" s="102" t="s">
        <v>650</v>
      </c>
      <c r="B145" s="102" t="s">
        <v>651</v>
      </c>
      <c r="C145" s="186">
        <v>0</v>
      </c>
      <c r="D145" s="186">
        <v>0</v>
      </c>
      <c r="E145" s="186">
        <v>4468960</v>
      </c>
      <c r="F145" s="186">
        <v>0</v>
      </c>
      <c r="G145" s="186">
        <v>4468960</v>
      </c>
      <c r="H145" s="186">
        <v>0</v>
      </c>
      <c r="I145" s="177">
        <f t="shared" si="4"/>
        <v>-4468960</v>
      </c>
      <c r="J145" s="176"/>
    </row>
    <row r="146" spans="1:10">
      <c r="A146" s="102" t="s">
        <v>679</v>
      </c>
      <c r="B146" s="102" t="s">
        <v>680</v>
      </c>
      <c r="C146" s="186">
        <v>0</v>
      </c>
      <c r="D146" s="186">
        <v>0</v>
      </c>
      <c r="E146" s="186">
        <v>3758847.83</v>
      </c>
      <c r="F146" s="186">
        <v>0</v>
      </c>
      <c r="G146" s="186">
        <v>3758847.83</v>
      </c>
      <c r="H146" s="186">
        <v>0</v>
      </c>
      <c r="I146" s="177">
        <f t="shared" si="4"/>
        <v>-3758847.83</v>
      </c>
      <c r="J146" s="176"/>
    </row>
    <row r="147" spans="1:10">
      <c r="A147" s="102" t="s">
        <v>415</v>
      </c>
      <c r="B147" s="102" t="s">
        <v>416</v>
      </c>
      <c r="C147" s="186">
        <v>0</v>
      </c>
      <c r="D147" s="186">
        <v>0</v>
      </c>
      <c r="E147" s="186">
        <v>3381096</v>
      </c>
      <c r="F147" s="186">
        <v>0</v>
      </c>
      <c r="G147" s="186">
        <v>3381096</v>
      </c>
      <c r="H147" s="186">
        <v>0</v>
      </c>
      <c r="I147" s="177">
        <f t="shared" si="4"/>
        <v>-3381096</v>
      </c>
      <c r="J147" s="176"/>
    </row>
    <row r="148" spans="1:10">
      <c r="A148" s="102" t="s">
        <v>417</v>
      </c>
      <c r="B148" s="102" t="s">
        <v>418</v>
      </c>
      <c r="C148" s="186">
        <v>0</v>
      </c>
      <c r="D148" s="186">
        <v>0</v>
      </c>
      <c r="E148" s="186">
        <v>14066058</v>
      </c>
      <c r="F148" s="186">
        <v>0</v>
      </c>
      <c r="G148" s="186">
        <v>14066058</v>
      </c>
      <c r="H148" s="186">
        <v>0</v>
      </c>
      <c r="I148" s="177">
        <f t="shared" si="4"/>
        <v>-14066058</v>
      </c>
      <c r="J148" s="176"/>
    </row>
    <row r="149" spans="1:10">
      <c r="A149" s="102" t="s">
        <v>419</v>
      </c>
      <c r="B149" s="102" t="s">
        <v>420</v>
      </c>
      <c r="C149" s="186">
        <v>0</v>
      </c>
      <c r="D149" s="186">
        <v>0</v>
      </c>
      <c r="E149" s="186">
        <v>96634196.400000006</v>
      </c>
      <c r="F149" s="186">
        <v>2642800.0499999993</v>
      </c>
      <c r="G149" s="186">
        <v>93991396.349999994</v>
      </c>
      <c r="H149" s="186">
        <v>0</v>
      </c>
      <c r="I149" s="177">
        <f t="shared" si="4"/>
        <v>-93991396.350000009</v>
      </c>
      <c r="J149" s="176"/>
    </row>
    <row r="150" spans="1:10">
      <c r="A150" s="102" t="s">
        <v>421</v>
      </c>
      <c r="B150" s="102" t="s">
        <v>422</v>
      </c>
      <c r="C150" s="186">
        <v>0</v>
      </c>
      <c r="D150" s="186">
        <v>0</v>
      </c>
      <c r="E150" s="186">
        <v>4475000</v>
      </c>
      <c r="F150" s="186">
        <v>0</v>
      </c>
      <c r="G150" s="186">
        <v>4475000</v>
      </c>
      <c r="H150" s="186">
        <v>0</v>
      </c>
      <c r="I150" s="177">
        <f t="shared" si="4"/>
        <v>-4475000</v>
      </c>
      <c r="J150" s="176"/>
    </row>
    <row r="151" spans="1:10">
      <c r="A151" s="102" t="s">
        <v>423</v>
      </c>
      <c r="B151" s="102" t="s">
        <v>424</v>
      </c>
      <c r="C151" s="186">
        <v>0</v>
      </c>
      <c r="D151" s="186">
        <v>0</v>
      </c>
      <c r="E151" s="186">
        <v>36190000</v>
      </c>
      <c r="F151" s="186">
        <v>0</v>
      </c>
      <c r="G151" s="186">
        <v>36190000</v>
      </c>
      <c r="H151" s="186">
        <v>0</v>
      </c>
      <c r="I151" s="177">
        <f t="shared" si="4"/>
        <v>-36190000</v>
      </c>
      <c r="J151" s="176"/>
    </row>
    <row r="152" spans="1:10">
      <c r="A152" s="102" t="s">
        <v>425</v>
      </c>
      <c r="B152" s="102" t="s">
        <v>426</v>
      </c>
      <c r="C152" s="186">
        <v>0</v>
      </c>
      <c r="D152" s="186">
        <v>0</v>
      </c>
      <c r="E152" s="186">
        <v>5595000</v>
      </c>
      <c r="F152" s="186">
        <v>0</v>
      </c>
      <c r="G152" s="186">
        <v>5595000</v>
      </c>
      <c r="H152" s="186">
        <v>0</v>
      </c>
      <c r="I152" s="177">
        <f t="shared" si="4"/>
        <v>-5595000</v>
      </c>
      <c r="J152" s="176"/>
    </row>
    <row r="153" spans="1:10">
      <c r="A153" s="102" t="s">
        <v>427</v>
      </c>
      <c r="B153" s="102" t="s">
        <v>428</v>
      </c>
      <c r="C153" s="186">
        <v>0</v>
      </c>
      <c r="D153" s="186">
        <v>0</v>
      </c>
      <c r="E153" s="186">
        <v>13681000</v>
      </c>
      <c r="F153" s="186">
        <v>0</v>
      </c>
      <c r="G153" s="186">
        <v>13681000</v>
      </c>
      <c r="H153" s="186">
        <v>0</v>
      </c>
      <c r="I153" s="177">
        <f t="shared" si="4"/>
        <v>-13681000</v>
      </c>
      <c r="J153" s="176"/>
    </row>
    <row r="154" spans="1:10">
      <c r="A154" s="102" t="s">
        <v>429</v>
      </c>
      <c r="B154" s="102" t="s">
        <v>430</v>
      </c>
      <c r="C154" s="186">
        <v>0</v>
      </c>
      <c r="D154" s="186">
        <v>0</v>
      </c>
      <c r="E154" s="186">
        <v>35161400</v>
      </c>
      <c r="F154" s="186">
        <v>0</v>
      </c>
      <c r="G154" s="186">
        <v>35161400</v>
      </c>
      <c r="H154" s="186">
        <v>0</v>
      </c>
      <c r="I154" s="177">
        <f t="shared" si="4"/>
        <v>-35161400</v>
      </c>
      <c r="J154" s="176"/>
    </row>
    <row r="155" spans="1:10">
      <c r="A155" s="102" t="s">
        <v>431</v>
      </c>
      <c r="B155" s="102" t="s">
        <v>432</v>
      </c>
      <c r="C155" s="186">
        <v>0</v>
      </c>
      <c r="D155" s="186">
        <v>0</v>
      </c>
      <c r="E155" s="186">
        <v>157663261.06000003</v>
      </c>
      <c r="F155" s="186">
        <v>44608600</v>
      </c>
      <c r="G155" s="186">
        <v>113054661.06000003</v>
      </c>
      <c r="H155" s="186">
        <v>0</v>
      </c>
      <c r="I155" s="177">
        <f t="shared" si="4"/>
        <v>-113054661.06000003</v>
      </c>
      <c r="J155" s="176"/>
    </row>
    <row r="156" spans="1:10">
      <c r="A156" s="102" t="s">
        <v>433</v>
      </c>
      <c r="B156" s="102" t="s">
        <v>434</v>
      </c>
      <c r="C156" s="186">
        <v>0</v>
      </c>
      <c r="D156" s="186">
        <v>0</v>
      </c>
      <c r="E156" s="186">
        <v>1973000</v>
      </c>
      <c r="F156" s="186">
        <v>0</v>
      </c>
      <c r="G156" s="186">
        <v>1973000</v>
      </c>
      <c r="H156" s="186">
        <v>0</v>
      </c>
      <c r="I156" s="177">
        <f t="shared" si="4"/>
        <v>-1973000</v>
      </c>
      <c r="J156" s="176"/>
    </row>
    <row r="157" spans="1:10">
      <c r="A157" s="102" t="s">
        <v>435</v>
      </c>
      <c r="B157" s="102" t="s">
        <v>436</v>
      </c>
      <c r="C157" s="186">
        <v>0</v>
      </c>
      <c r="D157" s="186">
        <v>0</v>
      </c>
      <c r="E157" s="186">
        <v>3894625.61</v>
      </c>
      <c r="F157" s="186">
        <v>0</v>
      </c>
      <c r="G157" s="186">
        <v>3894625.61</v>
      </c>
      <c r="H157" s="186">
        <v>0</v>
      </c>
      <c r="I157" s="177">
        <f t="shared" si="4"/>
        <v>-3894625.61</v>
      </c>
      <c r="J157" s="176"/>
    </row>
    <row r="158" spans="1:10">
      <c r="A158" s="102" t="s">
        <v>437</v>
      </c>
      <c r="B158" s="102" t="s">
        <v>438</v>
      </c>
      <c r="C158" s="186">
        <v>0</v>
      </c>
      <c r="D158" s="186">
        <v>0</v>
      </c>
      <c r="E158" s="186">
        <v>125738872.45999999</v>
      </c>
      <c r="F158" s="186">
        <v>0</v>
      </c>
      <c r="G158" s="186">
        <v>125738872.45999999</v>
      </c>
      <c r="H158" s="186">
        <v>0</v>
      </c>
      <c r="I158" s="177">
        <f t="shared" si="4"/>
        <v>-125738872.45999999</v>
      </c>
      <c r="J158" s="176"/>
    </row>
    <row r="159" spans="1:10">
      <c r="A159" s="102" t="s">
        <v>439</v>
      </c>
      <c r="B159" s="102" t="s">
        <v>440</v>
      </c>
      <c r="C159" s="186">
        <v>0</v>
      </c>
      <c r="D159" s="186">
        <v>0</v>
      </c>
      <c r="E159" s="186">
        <v>155069623.1500001</v>
      </c>
      <c r="F159" s="186">
        <v>0</v>
      </c>
      <c r="G159" s="186">
        <v>155069623.1500001</v>
      </c>
      <c r="H159" s="186">
        <v>0</v>
      </c>
      <c r="I159" s="177">
        <f t="shared" si="4"/>
        <v>-155069623.1500001</v>
      </c>
      <c r="J159" s="176"/>
    </row>
    <row r="160" spans="1:10">
      <c r="A160" s="102" t="s">
        <v>441</v>
      </c>
      <c r="B160" s="102" t="s">
        <v>442</v>
      </c>
      <c r="C160" s="186">
        <v>0</v>
      </c>
      <c r="D160" s="186">
        <v>0</v>
      </c>
      <c r="E160" s="186">
        <v>65088005.210000031</v>
      </c>
      <c r="F160" s="186">
        <v>0</v>
      </c>
      <c r="G160" s="186">
        <v>65088005.210000031</v>
      </c>
      <c r="H160" s="186">
        <v>0</v>
      </c>
      <c r="I160" s="177">
        <f t="shared" ref="I160:I173" si="5">+F160-E160</f>
        <v>-65088005.210000031</v>
      </c>
      <c r="J160" s="176"/>
    </row>
    <row r="161" spans="1:10">
      <c r="A161" s="102" t="s">
        <v>443</v>
      </c>
      <c r="B161" s="102" t="s">
        <v>444</v>
      </c>
      <c r="C161" s="186">
        <v>0</v>
      </c>
      <c r="D161" s="186">
        <v>0</v>
      </c>
      <c r="E161" s="186">
        <v>13863974.410000004</v>
      </c>
      <c r="F161" s="186">
        <v>0</v>
      </c>
      <c r="G161" s="186">
        <v>13863974.410000004</v>
      </c>
      <c r="H161" s="186">
        <v>0</v>
      </c>
      <c r="I161" s="177">
        <f t="shared" si="5"/>
        <v>-13863974.410000004</v>
      </c>
      <c r="J161" s="176"/>
    </row>
    <row r="162" spans="1:10">
      <c r="A162" s="102" t="s">
        <v>445</v>
      </c>
      <c r="B162" s="102" t="s">
        <v>446</v>
      </c>
      <c r="C162" s="186">
        <v>0</v>
      </c>
      <c r="D162" s="186">
        <v>0</v>
      </c>
      <c r="E162" s="186">
        <v>38077901.680000015</v>
      </c>
      <c r="F162" s="186">
        <v>0</v>
      </c>
      <c r="G162" s="186">
        <v>38077901.680000015</v>
      </c>
      <c r="H162" s="186">
        <v>0</v>
      </c>
      <c r="I162" s="177">
        <f t="shared" si="5"/>
        <v>-38077901.680000015</v>
      </c>
      <c r="J162" s="176"/>
    </row>
    <row r="163" spans="1:10">
      <c r="A163" s="102" t="s">
        <v>447</v>
      </c>
      <c r="B163" s="102" t="s">
        <v>448</v>
      </c>
      <c r="C163" s="186">
        <v>0</v>
      </c>
      <c r="D163" s="186">
        <v>0</v>
      </c>
      <c r="E163" s="186">
        <v>60913365.640000015</v>
      </c>
      <c r="F163" s="186">
        <v>3</v>
      </c>
      <c r="G163" s="186">
        <v>60913362.640000015</v>
      </c>
      <c r="H163" s="186">
        <v>0</v>
      </c>
      <c r="I163" s="177">
        <f t="shared" si="5"/>
        <v>-60913362.640000015</v>
      </c>
      <c r="J163" s="176"/>
    </row>
    <row r="164" spans="1:10">
      <c r="A164" s="102" t="s">
        <v>449</v>
      </c>
      <c r="B164" s="102" t="s">
        <v>450</v>
      </c>
      <c r="C164" s="186">
        <v>0</v>
      </c>
      <c r="D164" s="186">
        <v>0</v>
      </c>
      <c r="E164" s="186">
        <v>1022605328.76</v>
      </c>
      <c r="F164" s="186">
        <v>10165696</v>
      </c>
      <c r="G164" s="186">
        <v>1012439632.76</v>
      </c>
      <c r="H164" s="186">
        <v>0</v>
      </c>
      <c r="I164" s="177">
        <f t="shared" si="5"/>
        <v>-1012439632.76</v>
      </c>
      <c r="J164" s="176"/>
    </row>
    <row r="165" spans="1:10">
      <c r="A165" s="102" t="s">
        <v>451</v>
      </c>
      <c r="B165" s="102" t="s">
        <v>452</v>
      </c>
      <c r="C165" s="186">
        <v>0</v>
      </c>
      <c r="D165" s="186">
        <v>0</v>
      </c>
      <c r="E165" s="186">
        <v>140547946</v>
      </c>
      <c r="F165" s="186">
        <v>8424720568.5700016</v>
      </c>
      <c r="G165" s="186">
        <v>0</v>
      </c>
      <c r="H165" s="186">
        <v>8284172622.5700016</v>
      </c>
      <c r="I165" s="177">
        <f t="shared" si="5"/>
        <v>8284172622.5700016</v>
      </c>
      <c r="J165" s="176"/>
    </row>
    <row r="166" spans="1:10">
      <c r="A166" s="102" t="s">
        <v>455</v>
      </c>
      <c r="B166" s="102" t="s">
        <v>456</v>
      </c>
      <c r="C166" s="186">
        <v>0</v>
      </c>
      <c r="D166" s="186">
        <v>0</v>
      </c>
      <c r="E166" s="186">
        <v>40700259.93</v>
      </c>
      <c r="F166" s="186">
        <v>61228869.290000007</v>
      </c>
      <c r="G166" s="186">
        <v>0</v>
      </c>
      <c r="H166" s="186">
        <v>20528609.360000011</v>
      </c>
      <c r="I166" s="177">
        <f t="shared" si="5"/>
        <v>20528609.360000007</v>
      </c>
      <c r="J166" s="176"/>
    </row>
    <row r="167" spans="1:10">
      <c r="A167" s="102" t="s">
        <v>457</v>
      </c>
      <c r="B167" s="102" t="s">
        <v>458</v>
      </c>
      <c r="C167" s="186">
        <v>0</v>
      </c>
      <c r="D167" s="186">
        <v>0</v>
      </c>
      <c r="E167" s="186">
        <v>1286185278.5000002</v>
      </c>
      <c r="F167" s="186">
        <v>1354659455.2500002</v>
      </c>
      <c r="G167" s="186">
        <v>0</v>
      </c>
      <c r="H167" s="186">
        <v>68474176.75</v>
      </c>
      <c r="I167" s="177">
        <f t="shared" si="5"/>
        <v>68474176.75</v>
      </c>
      <c r="J167" s="176"/>
    </row>
    <row r="168" spans="1:10">
      <c r="A168" s="102" t="s">
        <v>459</v>
      </c>
      <c r="B168" s="102" t="s">
        <v>460</v>
      </c>
      <c r="C168" s="186">
        <v>0</v>
      </c>
      <c r="D168" s="186">
        <v>0</v>
      </c>
      <c r="E168" s="186">
        <v>0</v>
      </c>
      <c r="F168" s="186">
        <v>125672902</v>
      </c>
      <c r="G168" s="186">
        <v>0</v>
      </c>
      <c r="H168" s="186">
        <v>125672902</v>
      </c>
      <c r="I168" s="177">
        <f t="shared" si="5"/>
        <v>125672902</v>
      </c>
      <c r="J168" s="176"/>
    </row>
    <row r="169" spans="1:10">
      <c r="A169" s="102" t="s">
        <v>461</v>
      </c>
      <c r="B169" s="102" t="s">
        <v>462</v>
      </c>
      <c r="C169" s="186">
        <v>0</v>
      </c>
      <c r="D169" s="186">
        <v>0</v>
      </c>
      <c r="E169" s="186">
        <v>44690775.539999999</v>
      </c>
      <c r="F169" s="186">
        <v>38106075.469999991</v>
      </c>
      <c r="G169" s="186">
        <v>6584700.0700000096</v>
      </c>
      <c r="H169" s="186">
        <v>0</v>
      </c>
      <c r="I169" s="177">
        <f t="shared" si="5"/>
        <v>-6584700.0700000077</v>
      </c>
      <c r="J169" s="176"/>
    </row>
    <row r="170" spans="1:10">
      <c r="A170" s="102" t="s">
        <v>463</v>
      </c>
      <c r="B170" s="102" t="s">
        <v>464</v>
      </c>
      <c r="C170" s="186">
        <v>0</v>
      </c>
      <c r="D170" s="186">
        <v>0</v>
      </c>
      <c r="E170" s="186">
        <v>686655608.12</v>
      </c>
      <c r="F170" s="186">
        <v>1773224067</v>
      </c>
      <c r="G170" s="186">
        <v>0</v>
      </c>
      <c r="H170" s="186">
        <v>1086568458.8800001</v>
      </c>
      <c r="I170" s="177">
        <f t="shared" si="5"/>
        <v>1086568458.8800001</v>
      </c>
      <c r="J170" s="176"/>
    </row>
    <row r="171" spans="1:10">
      <c r="A171" s="102" t="s">
        <v>465</v>
      </c>
      <c r="B171" s="102" t="s">
        <v>466</v>
      </c>
      <c r="C171" s="186">
        <v>0</v>
      </c>
      <c r="D171" s="186">
        <v>0</v>
      </c>
      <c r="E171" s="186">
        <v>41654400</v>
      </c>
      <c r="F171" s="186">
        <v>525983368</v>
      </c>
      <c r="G171" s="186">
        <v>0</v>
      </c>
      <c r="H171" s="186">
        <v>484328968</v>
      </c>
      <c r="I171" s="177">
        <f t="shared" si="5"/>
        <v>484328968</v>
      </c>
      <c r="J171" s="176"/>
    </row>
    <row r="172" spans="1:10">
      <c r="A172" s="102" t="s">
        <v>467</v>
      </c>
      <c r="B172" s="102" t="s">
        <v>468</v>
      </c>
      <c r="C172" s="186">
        <v>0</v>
      </c>
      <c r="D172" s="186">
        <v>0</v>
      </c>
      <c r="E172" s="186">
        <v>0</v>
      </c>
      <c r="F172" s="186">
        <v>1412327700</v>
      </c>
      <c r="G172" s="186">
        <v>0</v>
      </c>
      <c r="H172" s="186">
        <v>1412327700</v>
      </c>
      <c r="I172" s="177">
        <f t="shared" si="5"/>
        <v>1412327700</v>
      </c>
      <c r="J172" s="176"/>
    </row>
    <row r="173" spans="1:10">
      <c r="A173" s="102" t="s">
        <v>469</v>
      </c>
      <c r="B173" s="102" t="s">
        <v>470</v>
      </c>
      <c r="C173" s="186">
        <v>0</v>
      </c>
      <c r="D173" s="186">
        <v>0</v>
      </c>
      <c r="E173" s="186">
        <v>30</v>
      </c>
      <c r="F173" s="186">
        <v>34718847.850000001</v>
      </c>
      <c r="G173" s="186">
        <v>0</v>
      </c>
      <c r="H173" s="186">
        <v>34718817.850000001</v>
      </c>
      <c r="I173" s="177">
        <f t="shared" si="5"/>
        <v>34718817.850000001</v>
      </c>
      <c r="J173" s="176"/>
    </row>
    <row r="174" spans="1:10">
      <c r="A174" s="102" t="s">
        <v>689</v>
      </c>
      <c r="B174" s="102"/>
      <c r="C174" s="186">
        <f>SUM(C95:C173)</f>
        <v>0</v>
      </c>
      <c r="D174" s="186">
        <f t="shared" ref="D174:H174" si="6">SUM(D95:D173)</f>
        <v>0</v>
      </c>
      <c r="E174" s="186">
        <f t="shared" si="6"/>
        <v>11540733219.910002</v>
      </c>
      <c r="F174" s="186">
        <f t="shared" si="6"/>
        <v>14811218774.170002</v>
      </c>
      <c r="G174" s="186">
        <f t="shared" si="6"/>
        <v>8246306701.1499996</v>
      </c>
      <c r="H174" s="186">
        <f t="shared" si="6"/>
        <v>11516792255.410002</v>
      </c>
      <c r="J174" s="176"/>
    </row>
    <row r="175" spans="1:10" s="188" customFormat="1">
      <c r="A175" s="176" t="s">
        <v>690</v>
      </c>
      <c r="B175" s="176"/>
      <c r="C175" s="177"/>
      <c r="D175" s="177"/>
      <c r="E175" s="177"/>
      <c r="F175" s="177">
        <f>+F174-E174</f>
        <v>3270485554.2600002</v>
      </c>
      <c r="G175" s="177"/>
      <c r="H175" s="177">
        <f>+H174-G174</f>
        <v>3270485554.2600021</v>
      </c>
      <c r="I175" s="177">
        <f>SUM(I95:I173)</f>
        <v>3270485554.2600017</v>
      </c>
      <c r="J175" s="176"/>
    </row>
    <row r="176" spans="1:10">
      <c r="A176" s="102"/>
      <c r="B176" s="102"/>
      <c r="C176" s="186"/>
      <c r="D176" s="186"/>
      <c r="E176" s="186"/>
      <c r="F176" s="186"/>
      <c r="G176" s="186"/>
      <c r="H176" s="186"/>
      <c r="I176" s="177"/>
      <c r="J176" s="176"/>
    </row>
    <row r="177" spans="1:10">
      <c r="A177" s="102"/>
      <c r="B177" s="102"/>
      <c r="C177" s="186"/>
      <c r="D177" s="186"/>
      <c r="E177" s="186"/>
      <c r="F177" s="186"/>
      <c r="G177" s="186"/>
      <c r="H177" s="186"/>
      <c r="I177" s="177"/>
      <c r="J177" s="176"/>
    </row>
    <row r="178" spans="1:10" s="188" customFormat="1">
      <c r="A178" s="176" t="s">
        <v>471</v>
      </c>
      <c r="C178" s="105">
        <v>162985274009.54001</v>
      </c>
      <c r="D178" s="105">
        <v>162985274009.54001</v>
      </c>
      <c r="E178" s="105">
        <v>1223150704648.46</v>
      </c>
      <c r="F178" s="105">
        <v>1223150704648.46</v>
      </c>
      <c r="G178" s="105">
        <v>192551161341.89001</v>
      </c>
      <c r="H178" s="105">
        <v>192551161341.89001</v>
      </c>
      <c r="J178" s="176"/>
    </row>
    <row r="179" spans="1:10">
      <c r="A179" s="112"/>
      <c r="I179" s="177">
        <f>SUM(I95:I173)</f>
        <v>3270485554.2600017</v>
      </c>
      <c r="J179" s="176" t="s">
        <v>613</v>
      </c>
    </row>
    <row r="180" spans="1:10">
      <c r="I180" s="329">
        <f>+I179-I89</f>
        <v>-8.106231689453125E-6</v>
      </c>
      <c r="J180" s="176" t="s">
        <v>687</v>
      </c>
    </row>
    <row r="181" spans="1:10">
      <c r="I181" s="176"/>
      <c r="J181" s="176"/>
    </row>
  </sheetData>
  <mergeCells count="5">
    <mergeCell ref="E94:F94"/>
    <mergeCell ref="C3:D3"/>
    <mergeCell ref="I3:J3"/>
    <mergeCell ref="G3:H3"/>
    <mergeCell ref="E3:F3"/>
  </mergeCells>
  <pageMargins left="0.70866141732283472" right="0.70866141732283472" top="0.74803149606299213" bottom="0.74803149606299213" header="0.31496062992125984" footer="0.31496062992125984"/>
  <pageSetup paperSize="9" scale="65" fitToHeight="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5"/>
  <sheetViews>
    <sheetView workbookViewId="0">
      <selection activeCell="C17" sqref="C17"/>
    </sheetView>
  </sheetViews>
  <sheetFormatPr defaultRowHeight="15.75"/>
  <cols>
    <col min="1" max="1" width="37.375" style="103" bestFit="1" customWidth="1"/>
    <col min="2" max="2" width="17.25" style="103" bestFit="1" customWidth="1"/>
    <col min="3" max="3" width="16.25" style="103" bestFit="1" customWidth="1"/>
    <col min="4" max="4" width="17" style="103" customWidth="1"/>
    <col min="5" max="5" width="13.875" style="103" customWidth="1"/>
    <col min="6" max="6" width="17" style="103" customWidth="1"/>
    <col min="7" max="7" width="18.25" style="103" customWidth="1"/>
    <col min="8" max="16384" width="9" style="103"/>
  </cols>
  <sheetData>
    <row r="1" spans="1:7">
      <c r="A1" s="457" t="s">
        <v>110</v>
      </c>
      <c r="B1" s="457"/>
      <c r="C1" s="457"/>
      <c r="D1" s="457"/>
      <c r="E1" s="457"/>
      <c r="F1" s="457"/>
      <c r="G1" s="457"/>
    </row>
    <row r="2" spans="1:7">
      <c r="A2" s="457" t="s">
        <v>111</v>
      </c>
      <c r="B2" s="457"/>
      <c r="C2" s="457"/>
      <c r="D2" s="457"/>
      <c r="E2" s="457"/>
      <c r="F2" s="457"/>
      <c r="G2" s="457"/>
    </row>
    <row r="3" spans="1:7">
      <c r="A3" s="366"/>
      <c r="B3" s="366"/>
      <c r="C3" s="366"/>
      <c r="D3" s="366"/>
      <c r="E3" s="366"/>
      <c r="F3" s="366"/>
      <c r="G3" s="366"/>
    </row>
    <row r="4" spans="1:7" ht="26.25">
      <c r="A4" s="458" t="s">
        <v>691</v>
      </c>
      <c r="B4" s="458"/>
      <c r="C4" s="458"/>
      <c r="D4" s="458"/>
      <c r="E4" s="458"/>
      <c r="F4" s="458"/>
      <c r="G4" s="458"/>
    </row>
    <row r="5" spans="1:7" ht="20.25">
      <c r="A5" s="459" t="s">
        <v>692</v>
      </c>
      <c r="B5" s="459"/>
      <c r="C5" s="459"/>
      <c r="D5" s="459"/>
      <c r="E5" s="459"/>
      <c r="F5" s="459"/>
      <c r="G5" s="459"/>
    </row>
    <row r="6" spans="1:7">
      <c r="A6" s="460" t="s">
        <v>112</v>
      </c>
      <c r="B6" s="367"/>
      <c r="D6" s="102"/>
      <c r="G6" s="171" t="s">
        <v>693</v>
      </c>
    </row>
    <row r="7" spans="1:7">
      <c r="A7" s="460"/>
      <c r="B7" s="367"/>
      <c r="D7" s="102"/>
      <c r="G7" s="102"/>
    </row>
    <row r="8" spans="1:7">
      <c r="A8" s="460"/>
      <c r="B8" s="367"/>
      <c r="D8" s="102"/>
      <c r="G8" s="102"/>
    </row>
    <row r="9" spans="1:7" s="368" customFormat="1" ht="12.75">
      <c r="A9" s="453" t="s">
        <v>116</v>
      </c>
      <c r="B9" s="453" t="s">
        <v>6</v>
      </c>
      <c r="C9" s="453" t="s">
        <v>694</v>
      </c>
      <c r="D9" s="453" t="s">
        <v>647</v>
      </c>
      <c r="E9" s="453" t="s">
        <v>695</v>
      </c>
      <c r="F9" s="453" t="s">
        <v>696</v>
      </c>
      <c r="G9" s="453" t="s">
        <v>697</v>
      </c>
    </row>
    <row r="10" spans="1:7" s="368" customFormat="1" ht="12.75">
      <c r="A10" s="454"/>
      <c r="B10" s="454"/>
      <c r="C10" s="454"/>
      <c r="D10" s="454"/>
      <c r="E10" s="454"/>
      <c r="F10" s="454"/>
      <c r="G10" s="454"/>
    </row>
    <row r="11" spans="1:7" s="368" customFormat="1" ht="12.75">
      <c r="A11" s="455"/>
      <c r="B11" s="455"/>
      <c r="C11" s="455"/>
      <c r="D11" s="455"/>
      <c r="E11" s="455"/>
      <c r="F11" s="455"/>
      <c r="G11" s="455"/>
    </row>
    <row r="12" spans="1:7">
      <c r="A12" s="369" t="s">
        <v>698</v>
      </c>
      <c r="B12" s="370"/>
      <c r="C12" s="371">
        <f>+'TB for 2013'!D83</f>
        <v>100000000000</v>
      </c>
      <c r="D12" s="371" t="s">
        <v>63</v>
      </c>
      <c r="E12" s="372" t="s">
        <v>66</v>
      </c>
      <c r="F12" s="372">
        <f>+'TB for 2013'!H85</f>
        <v>4029040752.8600001</v>
      </c>
      <c r="G12" s="373">
        <f>+SUM(C12:F12)</f>
        <v>104029040752.86</v>
      </c>
    </row>
    <row r="13" spans="1:7">
      <c r="A13" s="374" t="s">
        <v>699</v>
      </c>
      <c r="B13" s="375"/>
      <c r="C13" s="376"/>
      <c r="D13" s="376"/>
      <c r="E13" s="376"/>
      <c r="F13" s="376"/>
      <c r="G13" s="377"/>
    </row>
    <row r="14" spans="1:7">
      <c r="A14" s="374" t="s">
        <v>700</v>
      </c>
      <c r="B14" s="375"/>
      <c r="C14" s="376"/>
      <c r="D14" s="378"/>
      <c r="E14" s="376"/>
      <c r="F14" s="379" t="s">
        <v>64</v>
      </c>
      <c r="G14" s="380">
        <f>+SUM(F14)</f>
        <v>0</v>
      </c>
    </row>
    <row r="15" spans="1:7">
      <c r="A15" s="374" t="s">
        <v>701</v>
      </c>
      <c r="B15" s="375"/>
      <c r="C15" s="376"/>
      <c r="D15" s="379" t="s">
        <v>63</v>
      </c>
      <c r="E15" s="376"/>
      <c r="F15" s="379" t="str">
        <f>+D15</f>
        <v>+</v>
      </c>
      <c r="G15" s="381"/>
    </row>
    <row r="16" spans="1:7">
      <c r="A16" s="374" t="s">
        <v>702</v>
      </c>
      <c r="B16" s="375" t="s">
        <v>703</v>
      </c>
      <c r="C16" s="376"/>
      <c r="D16" s="376"/>
      <c r="E16" s="382" t="s">
        <v>63</v>
      </c>
      <c r="F16" s="382" t="str">
        <f>+E16</f>
        <v>+</v>
      </c>
      <c r="G16" s="377"/>
    </row>
    <row r="17" spans="1:11">
      <c r="A17" s="374" t="s">
        <v>704</v>
      </c>
      <c r="B17" s="375"/>
      <c r="C17" s="382" t="s">
        <v>63</v>
      </c>
      <c r="D17" s="376"/>
      <c r="E17" s="376"/>
      <c r="F17" s="376"/>
      <c r="G17" s="383" t="str">
        <f>+C17</f>
        <v>+</v>
      </c>
    </row>
    <row r="18" spans="1:11">
      <c r="A18" s="384" t="s">
        <v>705</v>
      </c>
      <c r="B18" s="385"/>
      <c r="C18" s="386"/>
      <c r="D18" s="386"/>
      <c r="E18" s="386"/>
      <c r="F18" s="387">
        <f>+[1]Sheet1!$H$76</f>
        <v>3799879255.0900002</v>
      </c>
      <c r="G18" s="388"/>
      <c r="H18" s="389" t="s">
        <v>706</v>
      </c>
    </row>
    <row r="19" spans="1:11">
      <c r="A19" s="390" t="s">
        <v>707</v>
      </c>
      <c r="B19" s="391"/>
      <c r="C19" s="392">
        <f>+SUM(C12:C18)</f>
        <v>100000000000</v>
      </c>
      <c r="D19" s="393">
        <f>+SUM(D12:D18)</f>
        <v>0</v>
      </c>
      <c r="E19" s="394">
        <f>+SUM(E12:E18)</f>
        <v>0</v>
      </c>
      <c r="F19" s="395">
        <f>SUM(F12:F18)</f>
        <v>7828920007.9500008</v>
      </c>
      <c r="G19" s="396">
        <f>+SUM(C19:F19)</f>
        <v>107828920007.95</v>
      </c>
    </row>
    <row r="20" spans="1:11">
      <c r="A20" s="369" t="s">
        <v>708</v>
      </c>
      <c r="B20" s="370"/>
      <c r="C20" s="397"/>
      <c r="D20" s="397"/>
      <c r="E20" s="397"/>
      <c r="F20" s="397"/>
      <c r="G20" s="398"/>
    </row>
    <row r="21" spans="1:11">
      <c r="A21" s="399" t="s">
        <v>709</v>
      </c>
      <c r="B21" s="400"/>
      <c r="C21" s="401">
        <f>+C19</f>
        <v>100000000000</v>
      </c>
      <c r="D21" s="402">
        <f>+D19</f>
        <v>0</v>
      </c>
      <c r="E21" s="403">
        <f>+E19</f>
        <v>0</v>
      </c>
      <c r="F21" s="404">
        <f>+F19</f>
        <v>7828920007.9500008</v>
      </c>
      <c r="G21" s="405">
        <f>+SUM(C21:F21)</f>
        <v>107828920007.95</v>
      </c>
    </row>
    <row r="22" spans="1:11">
      <c r="A22" s="384" t="s">
        <v>710</v>
      </c>
      <c r="B22" s="385"/>
      <c r="C22" s="406">
        <v>0</v>
      </c>
      <c r="D22" s="406">
        <v>0</v>
      </c>
      <c r="E22" s="406">
        <v>0</v>
      </c>
      <c r="F22" s="406">
        <v>0</v>
      </c>
      <c r="G22" s="407">
        <f>+SUM(C22:F22)</f>
        <v>0</v>
      </c>
    </row>
    <row r="23" spans="1:11">
      <c r="A23" s="390" t="s">
        <v>711</v>
      </c>
      <c r="B23" s="391"/>
      <c r="C23" s="408">
        <f>+C21+C22</f>
        <v>100000000000</v>
      </c>
      <c r="D23" s="408">
        <f>+D21+D22</f>
        <v>0</v>
      </c>
      <c r="E23" s="408">
        <f>+E21+E22</f>
        <v>0</v>
      </c>
      <c r="F23" s="408">
        <f>+F21+F22</f>
        <v>7828920007.9500008</v>
      </c>
      <c r="G23" s="408">
        <f>+G21+G22</f>
        <v>107828920007.95</v>
      </c>
    </row>
    <row r="24" spans="1:11">
      <c r="A24" s="409" t="s">
        <v>712</v>
      </c>
      <c r="B24" s="410"/>
      <c r="C24" s="411"/>
      <c r="D24" s="411"/>
      <c r="E24" s="411"/>
      <c r="F24" s="411"/>
      <c r="G24" s="412"/>
    </row>
    <row r="25" spans="1:11">
      <c r="A25" s="374" t="s">
        <v>713</v>
      </c>
      <c r="B25" s="375"/>
      <c r="C25" s="413"/>
      <c r="D25" s="413"/>
      <c r="E25" s="413"/>
      <c r="F25" s="379" t="s">
        <v>64</v>
      </c>
      <c r="G25" s="414" t="s">
        <v>64</v>
      </c>
    </row>
    <row r="26" spans="1:11">
      <c r="A26" s="374" t="s">
        <v>714</v>
      </c>
      <c r="B26" s="375"/>
      <c r="C26" s="413"/>
      <c r="D26" s="379">
        <v>379987925</v>
      </c>
      <c r="E26" s="415"/>
      <c r="F26" s="416">
        <f>-D26</f>
        <v>-379987925</v>
      </c>
      <c r="G26" s="417"/>
      <c r="H26" s="171" t="s">
        <v>715</v>
      </c>
    </row>
    <row r="27" spans="1:11">
      <c r="A27" s="374" t="s">
        <v>716</v>
      </c>
      <c r="B27" s="375" t="s">
        <v>703</v>
      </c>
      <c r="C27" s="413"/>
      <c r="D27" s="415"/>
      <c r="E27" s="379" t="s">
        <v>63</v>
      </c>
      <c r="F27" s="379" t="s">
        <v>64</v>
      </c>
      <c r="G27" s="417"/>
    </row>
    <row r="28" spans="1:11">
      <c r="A28" s="374" t="s">
        <v>717</v>
      </c>
      <c r="B28" s="375"/>
      <c r="C28" s="379" t="s">
        <v>63</v>
      </c>
      <c r="D28" s="415"/>
      <c r="E28" s="415"/>
      <c r="F28" s="415"/>
      <c r="G28" s="414" t="str">
        <f>+C28</f>
        <v>+</v>
      </c>
    </row>
    <row r="29" spans="1:11">
      <c r="A29" s="418" t="s">
        <v>705</v>
      </c>
      <c r="B29" s="419"/>
      <c r="C29" s="420"/>
      <c r="D29" s="420"/>
      <c r="E29" s="420"/>
      <c r="F29" s="421">
        <f>+[2]Sheet1!$F$94</f>
        <v>861099946.25999928</v>
      </c>
      <c r="G29" s="422"/>
      <c r="H29" s="102" t="s">
        <v>718</v>
      </c>
    </row>
    <row r="30" spans="1:11" s="176" customFormat="1" ht="12.75">
      <c r="A30" s="423" t="s">
        <v>719</v>
      </c>
      <c r="B30" s="328"/>
      <c r="C30" s="424">
        <f>+SUM(C23:C29)</f>
        <v>100000000000</v>
      </c>
      <c r="D30" s="424">
        <f>+SUM(D23:D29)</f>
        <v>379987925</v>
      </c>
      <c r="E30" s="394">
        <f>+SUM(E23:E29)</f>
        <v>0</v>
      </c>
      <c r="F30" s="395">
        <f>+SUM(F23:F29)</f>
        <v>8310032029.21</v>
      </c>
      <c r="G30" s="425">
        <f>SUM(C30:F30)</f>
        <v>108690019954.21001</v>
      </c>
    </row>
    <row r="31" spans="1:11">
      <c r="F31" s="102"/>
      <c r="G31" s="102"/>
      <c r="H31" s="102"/>
      <c r="I31" s="102"/>
      <c r="J31" s="102"/>
      <c r="K31" s="102"/>
    </row>
    <row r="32" spans="1:11">
      <c r="A32" s="112"/>
      <c r="B32" s="112"/>
      <c r="F32" s="102" t="s">
        <v>720</v>
      </c>
    </row>
    <row r="34" spans="1:8">
      <c r="A34" s="366" t="s">
        <v>266</v>
      </c>
      <c r="B34" s="456" t="s">
        <v>721</v>
      </c>
      <c r="C34" s="456"/>
      <c r="D34" s="457" t="s">
        <v>722</v>
      </c>
      <c r="E34" s="457"/>
      <c r="F34" s="457" t="s">
        <v>269</v>
      </c>
      <c r="G34" s="457"/>
    </row>
    <row r="41" spans="1:8">
      <c r="A41" s="187" t="s">
        <v>257</v>
      </c>
      <c r="B41" s="187" t="s">
        <v>258</v>
      </c>
      <c r="G41" s="248">
        <v>0</v>
      </c>
      <c r="H41" s="248">
        <v>100000000000</v>
      </c>
    </row>
    <row r="42" spans="1:8">
      <c r="A42" s="187" t="s">
        <v>260</v>
      </c>
      <c r="B42" s="187" t="s">
        <v>261</v>
      </c>
      <c r="G42" s="248">
        <v>0</v>
      </c>
      <c r="H42" s="248">
        <v>191823715.77000001</v>
      </c>
    </row>
    <row r="43" spans="1:8">
      <c r="A43" s="187" t="s">
        <v>263</v>
      </c>
      <c r="B43" s="187" t="s">
        <v>264</v>
      </c>
      <c r="G43" s="248">
        <v>0</v>
      </c>
      <c r="H43" s="248">
        <v>0</v>
      </c>
    </row>
    <row r="44" spans="1:8">
      <c r="A44" s="187" t="s">
        <v>627</v>
      </c>
      <c r="B44" s="187" t="s">
        <v>628</v>
      </c>
      <c r="G44" s="248">
        <v>0</v>
      </c>
      <c r="H44" s="248">
        <v>3799879255.0900002</v>
      </c>
    </row>
    <row r="45" spans="1:8">
      <c r="H45" s="177">
        <f>SUM(H41:H44)</f>
        <v>103991702970.86</v>
      </c>
    </row>
  </sheetData>
  <mergeCells count="15">
    <mergeCell ref="A9:A11"/>
    <mergeCell ref="B9:B11"/>
    <mergeCell ref="C9:C11"/>
    <mergeCell ref="D9:D11"/>
    <mergeCell ref="E9:E11"/>
    <mergeCell ref="A1:G1"/>
    <mergeCell ref="A2:G2"/>
    <mergeCell ref="A4:G4"/>
    <mergeCell ref="A5:G5"/>
    <mergeCell ref="A6:A8"/>
    <mergeCell ref="F9:F11"/>
    <mergeCell ref="G9:G11"/>
    <mergeCell ref="B34:C34"/>
    <mergeCell ref="D34:E34"/>
    <mergeCell ref="F34:G3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Sheet1</vt:lpstr>
      <vt:lpstr>Sheet2</vt:lpstr>
      <vt:lpstr>FinalFormwFx2</vt:lpstr>
      <vt:lpstr>Cash flow statement </vt:lpstr>
      <vt:lpstr>TB 2012</vt:lpstr>
      <vt:lpstr>TB JAn'13</vt:lpstr>
      <vt:lpstr>TB Feb'13</vt:lpstr>
      <vt:lpstr>TB March'13</vt:lpstr>
      <vt:lpstr>TB June'13</vt:lpstr>
      <vt:lpstr>BS</vt:lpstr>
      <vt:lpstr>PL</vt:lpstr>
      <vt:lpstr>TB Q I 2013</vt:lpstr>
      <vt:lpstr>TB for 2013</vt:lpstr>
      <vt:lpstr>C&amp;E.2013</vt:lpstr>
      <vt:lpstr>'Cash flow statement '!Print_Area</vt:lpstr>
      <vt:lpstr>FinalFormwFx2!Print_Area</vt:lpstr>
      <vt:lpstr>'TB for 2013'!Print_Area</vt:lpstr>
      <vt:lpstr>'TB June''13'!Print_Area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</dc:creator>
  <cp:lastModifiedBy>Bee</cp:lastModifiedBy>
  <cp:lastPrinted>2014-01-27T09:13:13Z</cp:lastPrinted>
  <dcterms:created xsi:type="dcterms:W3CDTF">2012-12-04T04:26:55Z</dcterms:created>
  <dcterms:modified xsi:type="dcterms:W3CDTF">2014-01-31T02:24:58Z</dcterms:modified>
</cp:coreProperties>
</file>