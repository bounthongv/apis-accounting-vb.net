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40" windowHeight="11640" tabRatio="469" activeTab="4"/>
  </bookViews>
  <sheets>
    <sheet name="Sheet1" sheetId="21" r:id="rId1"/>
    <sheet name="Sheet2" sheetId="22" r:id="rId2"/>
    <sheet name="FinalFormwFx2" sheetId="17" r:id="rId3"/>
    <sheet name="FinalForm" sheetId="11" r:id="rId4"/>
    <sheet name="TB 2012" sheetId="19" r:id="rId5"/>
    <sheet name="BS" sheetId="18" r:id="rId6"/>
    <sheet name="PL" sheetId="20" r:id="rId7"/>
  </sheets>
  <definedNames>
    <definedName name="_xlnm.Print_Area" localSheetId="3">FinalForm!$A$4:$G$55</definedName>
    <definedName name="_xlnm.Print_Area" localSheetId="2">FinalFormwFx2!$A$1:$D$70</definedName>
  </definedNames>
  <calcPr calcId="124519"/>
</workbook>
</file>

<file path=xl/calcChain.xml><?xml version="1.0" encoding="utf-8"?>
<calcChain xmlns="http://schemas.openxmlformats.org/spreadsheetml/2006/main">
  <c r="I44" i="19"/>
  <c r="D41" i="11"/>
  <c r="D34"/>
  <c r="J63" i="19"/>
  <c r="J59"/>
  <c r="J71"/>
  <c r="I29"/>
  <c r="I21"/>
  <c r="I16"/>
  <c r="I10"/>
  <c r="I5"/>
  <c r="J50"/>
  <c r="J57"/>
  <c r="L34"/>
  <c r="L11"/>
  <c r="I6"/>
  <c r="L6"/>
  <c r="L7"/>
  <c r="L8"/>
  <c r="L9"/>
  <c r="L10"/>
  <c r="L5"/>
  <c r="L39"/>
  <c r="L35"/>
  <c r="L36"/>
  <c r="L37"/>
  <c r="L38"/>
  <c r="L40"/>
  <c r="L41"/>
  <c r="L42"/>
  <c r="L43"/>
  <c r="L44"/>
  <c r="L45"/>
  <c r="L46"/>
  <c r="L47"/>
  <c r="L48"/>
  <c r="L49"/>
  <c r="I37"/>
  <c r="L32"/>
  <c r="I31"/>
  <c r="D24" i="11"/>
  <c r="I30" i="19"/>
  <c r="D22" i="11"/>
  <c r="I33" i="19"/>
  <c r="D21" i="11"/>
  <c r="I11" i="19"/>
  <c r="I7"/>
  <c r="D20" i="11"/>
  <c r="D12"/>
  <c r="E48"/>
  <c r="D48"/>
  <c r="E52"/>
  <c r="J60" i="19"/>
  <c r="J61"/>
  <c r="J62"/>
  <c r="I26"/>
  <c r="D27" i="11"/>
  <c r="J167" i="19"/>
  <c r="J174"/>
  <c r="I174"/>
  <c r="F176"/>
  <c r="H176"/>
  <c r="J172"/>
  <c r="J86"/>
  <c r="D51" i="11"/>
  <c r="I25" i="19"/>
  <c r="I24"/>
  <c r="I23"/>
  <c r="I22"/>
  <c r="I19"/>
  <c r="I18"/>
  <c r="I17"/>
  <c r="I15"/>
  <c r="I14"/>
  <c r="I13"/>
  <c r="I12"/>
  <c r="I9"/>
  <c r="I8"/>
  <c r="H81"/>
  <c r="H83" s="1"/>
  <c r="G81"/>
  <c r="F81"/>
  <c r="E81"/>
  <c r="C81"/>
  <c r="F83"/>
  <c r="H174"/>
  <c r="G174"/>
  <c r="E174"/>
  <c r="F174"/>
  <c r="J171"/>
  <c r="J170"/>
  <c r="J166"/>
  <c r="J165"/>
  <c r="J164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D19" i="11" l="1"/>
  <c r="D28" s="1"/>
  <c r="L19" i="19"/>
  <c r="L18"/>
  <c r="L22" s="1"/>
  <c r="G60" i="11"/>
  <c r="G59"/>
  <c r="I20" i="19"/>
  <c r="G50" i="11"/>
  <c r="B61"/>
  <c r="B60"/>
  <c r="C174" i="19"/>
  <c r="D174"/>
  <c r="I34"/>
  <c r="F60" i="11" l="1"/>
  <c r="L21" i="19"/>
  <c r="L23" s="1"/>
  <c r="L15"/>
  <c r="L16" s="1"/>
  <c r="F59" i="11"/>
  <c r="J169" i="19"/>
  <c r="J168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D10" i="11" l="1"/>
  <c r="J176" i="19"/>
  <c r="F61" i="11"/>
  <c r="F51"/>
  <c r="J78" i="19"/>
  <c r="J77"/>
  <c r="J76"/>
  <c r="J75"/>
  <c r="J74"/>
  <c r="J73"/>
  <c r="J72"/>
  <c r="J70"/>
  <c r="J69"/>
  <c r="J68"/>
  <c r="J67"/>
  <c r="J66"/>
  <c r="J65"/>
  <c r="J64"/>
  <c r="D33" i="11"/>
  <c r="J58" i="19"/>
  <c r="D32" i="11"/>
  <c r="D29" s="1"/>
  <c r="D36" s="1"/>
  <c r="J56" i="19"/>
  <c r="J55"/>
  <c r="J54"/>
  <c r="J53"/>
  <c r="J52"/>
  <c r="J51"/>
  <c r="I27"/>
  <c r="I28"/>
  <c r="I32"/>
  <c r="D25" i="11" s="1"/>
  <c r="I35" i="19"/>
  <c r="I36"/>
  <c r="I38"/>
  <c r="I39"/>
  <c r="I40"/>
  <c r="I41"/>
  <c r="I42"/>
  <c r="I43"/>
  <c r="I45"/>
  <c r="I46"/>
  <c r="I47"/>
  <c r="I48"/>
  <c r="I49"/>
  <c r="D81"/>
  <c r="E42" i="11"/>
  <c r="E29"/>
  <c r="E36" s="1"/>
  <c r="E19"/>
  <c r="E28" s="1"/>
  <c r="E11"/>
  <c r="E18" s="1"/>
  <c r="D11" l="1"/>
  <c r="D18" s="1"/>
  <c r="D37" s="1"/>
  <c r="J81" i="19"/>
  <c r="D42" i="11"/>
  <c r="I81" i="19"/>
  <c r="E37" i="11"/>
  <c r="E50" s="1"/>
  <c r="D31"/>
  <c r="D35"/>
  <c r="D83" i="19"/>
  <c r="J83" l="1"/>
  <c r="D50" i="11"/>
  <c r="D52" s="1"/>
  <c r="F50"/>
  <c r="F52" s="1"/>
  <c r="G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<sst xmlns="http://schemas.openxmlformats.org/spreadsheetml/2006/main" count="1065" uniqueCount="629">
  <si>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</si>
  <si>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</si>
  <si>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</si>
  <si>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</si>
  <si>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</si>
  <si>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</si>
  <si>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</si>
  <si>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</si>
  <si>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</si>
  <si>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</si>
  <si>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t>ວັນທີ ..../..../....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</si>
  <si>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</si>
  <si>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</si>
  <si>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</si>
  <si>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</si>
  <si>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</si>
  <si>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</si>
  <si>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</si>
  <si>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</si>
  <si>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</si>
  <si>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</si>
  <si>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</si>
  <si>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</si>
  <si>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</si>
  <si>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</si>
  <si>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</si>
  <si>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</si>
  <si>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</si>
  <si>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</si>
  <si>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</si>
  <si>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</si>
  <si>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</si>
  <si>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</si>
  <si>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</si>
  <si>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</si>
  <si>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</si>
  <si>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</si>
  <si>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</si>
  <si>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</si>
  <si>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</si>
  <si>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</si>
  <si>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</si>
  <si>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</si>
  <si>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</si>
  <si>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</si>
  <si>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</si>
  <si>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</si>
  <si>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</si>
  <si>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</si>
  <si>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</si>
  <si>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</si>
  <si>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</si>
  <si>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</si>
  <si>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</si>
  <si>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</si>
  <si>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</si>
  <si>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</si>
  <si>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</si>
  <si>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</si>
  <si>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</si>
  <si>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</si>
  <si>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</si>
  <si>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</si>
  <si>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</si>
  <si>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</si>
  <si>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</si>
  <si>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</si>
  <si>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</si>
  <si>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</si>
  <si>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</si>
  <si>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</si>
  <si>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</si>
  <si>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</si>
  <si>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</si>
  <si>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</si>
  <si>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</si>
  <si>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</si>
  <si>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</si>
  <si>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</si>
  <si>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</si>
  <si>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</si>
  <si>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</si>
  <si>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</si>
  <si>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</si>
  <si>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</si>
  <si>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</si>
  <si>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</si>
  <si>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</si>
  <si>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</si>
  <si>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</si>
  <si>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</si>
  <si>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</si>
  <si>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</si>
  <si>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</si>
  <si>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</si>
  <si>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</si>
  <si>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</si>
  <si>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</si>
  <si>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</si>
  <si>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</si>
  <si>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</si>
  <si>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</si>
  <si>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</si>
  <si>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</si>
  <si>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</si>
  <si>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</si>
  <si>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</si>
  <si>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</si>
  <si>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</si>
  <si>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</si>
  <si>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</si>
  <si>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</si>
  <si>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</si>
  <si>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</si>
  <si>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</si>
  <si>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</si>
  <si>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</si>
  <si>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</si>
  <si>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</si>
  <si>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</si>
  <si>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</si>
  <si>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</si>
  <si>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</si>
  <si>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</si>
  <si>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</si>
  <si>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</si>
  <si>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</si>
  <si>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</si>
  <si>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</si>
  <si>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</si>
  <si>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</si>
  <si>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</si>
  <si>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</si>
  <si>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</si>
  <si>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</si>
  <si>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</si>
  <si>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</si>
  <si>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</si>
  <si>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</si>
  <si>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</si>
  <si>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</si>
  <si>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</si>
  <si>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</si>
  <si>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</si>
  <si>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</si>
  <si>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</si>
  <si>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</si>
  <si>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</si>
  <si>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</si>
  <si>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</si>
  <si>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</si>
  <si>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</si>
  <si>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</si>
  <si>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</si>
  <si>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</si>
  <si>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</si>
  <si>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</si>
  <si>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</si>
  <si>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</si>
  <si>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</si>
  <si>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</si>
  <si>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</si>
  <si>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</si>
  <si>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</si>
  <si>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</si>
  <si>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</si>
  <si>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</si>
  <si>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</si>
  <si>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</si>
  <si>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</si>
  <si>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</si>
  <si>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</si>
  <si>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</si>
  <si>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</si>
  <si>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</si>
  <si>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</si>
  <si>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</si>
  <si>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</si>
  <si>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</si>
  <si>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</si>
  <si>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</si>
  <si>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</si>
  <si>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</si>
  <si>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</si>
  <si>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</si>
  <si>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</si>
  <si>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</si>
  <si>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</si>
  <si>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</si>
  <si>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</si>
  <si>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</si>
  <si>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</si>
  <si>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</si>
  <si>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</si>
  <si>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</si>
  <si>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</si>
  <si>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</si>
  <si>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</si>
  <si>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</si>
  <si>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</si>
  <si>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</si>
  <si>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</si>
  <si>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</si>
  <si>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</si>
  <si>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</si>
  <si>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</si>
  <si>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</si>
  <si>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</si>
  <si>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</si>
  <si>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</si>
  <si>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</si>
  <si>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</si>
  <si>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</si>
  <si>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</si>
  <si>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</si>
  <si>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</si>
  <si>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</si>
  <si>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</si>
  <si>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</si>
  <si>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</si>
  <si>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</si>
  <si>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</si>
  <si>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</si>
  <si>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</si>
  <si>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</si>
  <si>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</si>
  <si>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</si>
  <si>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</si>
  <si>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</si>
  <si>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</si>
  <si>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</si>
  <si>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</si>
  <si>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</si>
  <si>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</si>
  <si>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</si>
  <si>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</si>
  <si>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</si>
  <si>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</si>
  <si>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</si>
  <si>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</si>
  <si>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</si>
  <si>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</si>
  <si>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</si>
  <si>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</si>
  <si>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</si>
  <si>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</si>
  <si>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</si>
  <si>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</si>
  <si>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</si>
  <si>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</si>
  <si>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</si>
  <si>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</si>
  <si>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</si>
  <si>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</si>
  <si>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</si>
  <si>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</si>
  <si>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</si>
  <si>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</si>
  <si>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</si>
  <si>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</si>
  <si>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</si>
  <si>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</si>
  <si>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</si>
  <si>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</si>
  <si>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</si>
  <si>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</si>
  <si>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</si>
  <si>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</si>
  <si>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</si>
  <si>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</si>
  <si>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</si>
  <si>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</si>
  <si>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</si>
  <si>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</si>
  <si>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</si>
  <si>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</si>
  <si>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</si>
  <si>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</si>
  <si>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</si>
  <si>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</si>
  <si>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</si>
  <si>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</si>
  <si>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</si>
  <si>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</si>
  <si>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</si>
  <si>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</si>
  <si>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</si>
  <si>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</si>
  <si>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</si>
  <si>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</si>
  <si>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</si>
  <si>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</si>
  <si>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</si>
  <si>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</si>
  <si>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</si>
  <si>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</si>
  <si>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</si>
  <si>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</si>
  <si>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</si>
  <si>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</si>
  <si>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</si>
  <si>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</si>
  <si>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</si>
  <si>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</si>
  <si>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</si>
  <si>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</si>
  <si>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</si>
  <si>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</si>
  <si>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</si>
  <si>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</si>
  <si>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</si>
  <si>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</si>
  <si>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</si>
  <si>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</si>
  <si>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</si>
  <si>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</si>
  <si>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</si>
  <si>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</si>
  <si>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</si>
  <si>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</si>
  <si>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</si>
  <si>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</si>
  <si>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</si>
  <si>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</si>
  <si>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</si>
  <si>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</si>
  <si>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</si>
  <si>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</si>
  <si>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</si>
  <si>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</si>
  <si>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</si>
  <si>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</si>
  <si>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</si>
  <si>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</si>
  <si>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</si>
  <si>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</si>
  <si>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</si>
  <si>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</si>
  <si>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</si>
  <si>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</si>
  <si>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</si>
  <si>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</si>
  <si>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</si>
  <si>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</si>
  <si>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</si>
  <si>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</si>
  <si>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</si>
  <si>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</si>
  <si>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</si>
  <si>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</si>
  <si>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</si>
  <si>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</si>
  <si>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</si>
  <si>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</si>
  <si>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</si>
  <si>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</si>
  <si>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</si>
  <si>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</si>
  <si>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</si>
  <si>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</si>
  <si>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</si>
  <si>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</si>
  <si>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</si>
  <si>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</si>
  <si>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</si>
  <si>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</si>
  <si>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</si>
  <si>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</si>
  <si>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</si>
  <si>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</si>
  <si>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</si>
  <si>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</si>
  <si>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</si>
  <si>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</si>
  <si>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</si>
  <si>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</si>
  <si>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</si>
  <si>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</si>
  <si>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</si>
  <si>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</si>
  <si>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</si>
  <si>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</si>
  <si>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</si>
  <si>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</si>
  <si>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</si>
  <si>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</si>
  <si>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</si>
  <si>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</si>
  <si>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</si>
  <si>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</si>
  <si>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</si>
  <si>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</si>
  <si>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</si>
  <si>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</si>
  <si>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</si>
  <si>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</si>
  <si>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</si>
  <si>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</si>
  <si>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</si>
  <si>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</si>
  <si>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</si>
  <si>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</si>
  <si>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</si>
  <si>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</si>
  <si>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</si>
  <si>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</si>
  <si>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</si>
  <si>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</si>
  <si>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</si>
  <si>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</si>
  <si>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</si>
  <si>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</si>
  <si>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</si>
  <si>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</si>
  <si>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</si>
  <si>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</si>
  <si>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</si>
  <si>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</si>
  <si>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</si>
  <si>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</si>
  <si>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</si>
  <si>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</si>
  <si>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</si>
  <si>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</si>
  <si>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</si>
  <si>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</si>
  <si>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</si>
  <si>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</si>
  <si>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</si>
  <si>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</si>
  <si>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</si>
  <si>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</si>
  <si>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</si>
  <si>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</si>
  <si>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</si>
  <si>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</si>
  <si>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</si>
  <si>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</si>
  <si>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</si>
  <si>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</si>
  <si>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</si>
  <si>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</si>
  <si>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</si>
  <si>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</si>
  <si>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</si>
  <si>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</si>
  <si>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</si>
  <si>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</si>
  <si>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</si>
  <si>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</si>
  <si>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</si>
  <si>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</si>
  <si>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</si>
  <si>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</si>
  <si>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</si>
  <si>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</si>
  <si>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</si>
  <si>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</si>
  <si>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</si>
  <si>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</si>
  <si>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</si>
  <si>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</si>
  <si>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</si>
  <si>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</si>
  <si>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</si>
  <si>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</si>
  <si>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</si>
  <si>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</si>
  <si>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</si>
  <si>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</si>
  <si>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</si>
  <si>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</si>
  <si>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</si>
  <si>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</si>
  <si>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</si>
  <si>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</si>
  <si>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</si>
  <si>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</si>
  <si>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</si>
  <si>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</si>
  <si>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</si>
  <si>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</si>
  <si>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</si>
  <si>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</si>
  <si>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</si>
  <si>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</si>
  <si>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</si>
  <si>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</si>
  <si>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</si>
  <si>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</si>
  <si>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</si>
  <si>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</si>
  <si>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</si>
  <si>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</si>
  <si>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</si>
  <si>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</si>
  <si>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</si>
  <si>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</si>
  <si>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</si>
  <si>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</si>
  <si>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</si>
  <si>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</si>
  <si>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</si>
  <si>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</si>
  <si>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</si>
  <si>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</si>
  <si>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</si>
  <si>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</si>
  <si>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</si>
  <si>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</si>
  <si>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</si>
  <si>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</si>
  <si>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</si>
  <si>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</si>
  <si>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</si>
  <si>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</si>
  <si>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</si>
  <si>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</si>
  <si>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</si>
  <si>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</si>
  <si>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</si>
  <si>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</si>
  <si>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</si>
  <si>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</si>
  <si>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</si>
  <si>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</si>
  <si>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</si>
  <si>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</si>
  <si>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</si>
  <si>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</si>
  <si>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</si>
  <si>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</si>
  <si>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</si>
  <si>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</si>
  <si>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</si>
  <si>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</si>
  <si>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</si>
  <si>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</si>
  <si>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</si>
  <si>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</si>
  <si>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</si>
  <si>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</si>
  <si>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</si>
  <si>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</si>
  <si>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</si>
  <si>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</si>
  <si>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</si>
  <si>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Ex: Cash and cash equarvalent for the year end 30/12/2012 </t>
  </si>
  <si>
    <r>
      <rPr>
        <sz val="10"/>
        <color rgb="FFFF0000"/>
        <rFont val="Saysettha Unicode"/>
        <family val="2"/>
      </rPr>
      <t>Note:</t>
    </r>
    <r>
      <rPr>
        <sz val="10"/>
        <color theme="1"/>
        <rFont val="Saysettha Unicode"/>
        <family val="2"/>
      </rPr>
      <t xml:space="preserve"> that the amount" Cash and cash equarvalent for the year end is should be including Cash on hand+Cash at bank " </t>
    </r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</si>
  <si>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</si>
  <si>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</si>
  <si>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</si>
  <si>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</si>
  <si>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</si>
  <si>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</si>
  <si>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</si>
  <si>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</si>
  <si>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</si>
  <si>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</si>
  <si>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</si>
  <si>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</si>
  <si>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</si>
  <si>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</si>
  <si>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</si>
  <si>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</si>
  <si>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</si>
  <si>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</si>
  <si>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</si>
  <si>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</si>
  <si>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</si>
  <si>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</si>
  <si>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</si>
  <si>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</si>
  <si>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</si>
  <si>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</si>
  <si>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</si>
  <si>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</si>
  <si>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</si>
  <si>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</si>
  <si>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</si>
  <si>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</si>
  <si>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</si>
  <si>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</si>
  <si>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</si>
  <si>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</si>
  <si>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</si>
  <si>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</si>
  <si>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</si>
  <si>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</si>
  <si>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</si>
  <si>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</si>
  <si>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</si>
  <si>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</si>
  <si>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</si>
  <si>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</si>
  <si>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</si>
  <si>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</si>
  <si>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</si>
  <si>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</si>
  <si>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</si>
  <si>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</si>
  <si>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</si>
  <si>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</si>
  <si>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</si>
  <si>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</si>
  <si>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</si>
  <si>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</si>
  <si>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</si>
  <si>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</si>
  <si>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</si>
  <si>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</si>
  <si>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</si>
  <si>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</si>
  <si>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</si>
  <si>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</si>
  <si>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</si>
  <si>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</si>
  <si>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</si>
  <si>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</si>
  <si>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</si>
  <si>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Cr-Dr " Movement of 4-5 "+ A/C: 49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</si>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</sst>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/m/yy;@"/>
    <numFmt numFmtId="166" formatCode="#,###"/>
    <numFmt numFmtId="167" formatCode="_(* #,##0_);_(* \(#,##0\);_(* &quot;-&quot;??_);_(@_)"/>
    <numFmt numFmtId="168" formatCode="#,##0.00;[Red]\(#,##0.00\)"/>
  </numFmts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8" fillId="0" borderId="0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7" xfId="0" applyFont="1" applyFill="1" applyBorder="1"/>
    <xf numFmtId="0" fontId="3" fillId="0" borderId="7" xfId="0" applyFont="1" applyFill="1" applyBorder="1"/>
    <xf numFmtId="0" fontId="7" fillId="0" borderId="7" xfId="0" applyFont="1" applyFill="1" applyBorder="1" applyAlignment="1"/>
    <xf numFmtId="164" fontId="3" fillId="0" borderId="9" xfId="1" applyFont="1" applyFill="1" applyBorder="1"/>
    <xf numFmtId="0" fontId="7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/>
    </xf>
    <xf numFmtId="0" fontId="12" fillId="0" borderId="7" xfId="0" applyFont="1" applyFill="1" applyBorder="1"/>
    <xf numFmtId="4" fontId="4" fillId="0" borderId="0" xfId="0" applyNumberFormat="1" applyFont="1" applyFill="1" applyBorder="1"/>
    <xf numFmtId="49" fontId="3" fillId="0" borderId="4" xfId="1" applyNumberFormat="1" applyFont="1" applyFill="1" applyBorder="1" applyAlignment="1">
      <alignment horizontal="left"/>
    </xf>
    <xf numFmtId="49" fontId="3" fillId="0" borderId="7" xfId="1" applyNumberFormat="1" applyFont="1" applyFill="1" applyBorder="1" applyAlignment="1">
      <alignment horizontal="left"/>
    </xf>
    <xf numFmtId="49" fontId="7" fillId="0" borderId="7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left"/>
    </xf>
    <xf numFmtId="49" fontId="3" fillId="0" borderId="9" xfId="1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/>
    <xf numFmtId="164" fontId="3" fillId="0" borderId="7" xfId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7" fillId="0" borderId="7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left"/>
    </xf>
    <xf numFmtId="164" fontId="5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164" fontId="3" fillId="0" borderId="8" xfId="1" applyFont="1" applyFill="1" applyBorder="1" applyAlignment="1">
      <alignment horizontal="left"/>
    </xf>
    <xf numFmtId="0" fontId="3" fillId="0" borderId="12" xfId="0" applyFont="1" applyFill="1" applyBorder="1"/>
    <xf numFmtId="164" fontId="7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164" fontId="3" fillId="0" borderId="12" xfId="1" applyFont="1" applyFill="1" applyBorder="1" applyAlignment="1">
      <alignment horizontal="left"/>
    </xf>
    <xf numFmtId="164" fontId="7" fillId="0" borderId="1" xfId="1" applyFont="1" applyFill="1" applyBorder="1" applyAlignment="1">
      <alignment horizontal="center" vertical="top" wrapText="1"/>
    </xf>
    <xf numFmtId="0" fontId="3" fillId="0" borderId="12" xfId="0" applyFont="1" applyFill="1" applyBorder="1" applyAlignment="1"/>
    <xf numFmtId="0" fontId="7" fillId="0" borderId="12" xfId="0" applyFont="1" applyFill="1" applyBorder="1" applyAlignment="1"/>
    <xf numFmtId="164" fontId="4" fillId="0" borderId="8" xfId="1" applyFont="1" applyFill="1" applyBorder="1" applyAlignment="1">
      <alignment horizontal="left"/>
    </xf>
    <xf numFmtId="165" fontId="7" fillId="0" borderId="1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Fill="1" applyBorder="1"/>
    <xf numFmtId="49" fontId="7" fillId="0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/>
    <xf numFmtId="49" fontId="3" fillId="0" borderId="7" xfId="0" applyNumberFormat="1" applyFont="1" applyFill="1" applyBorder="1" applyAlignment="1"/>
    <xf numFmtId="49" fontId="3" fillId="0" borderId="7" xfId="0" applyNumberFormat="1" applyFont="1" applyFill="1" applyBorder="1"/>
    <xf numFmtId="49" fontId="12" fillId="0" borderId="7" xfId="0" applyNumberFormat="1" applyFont="1" applyFill="1" applyBorder="1"/>
    <xf numFmtId="49" fontId="7" fillId="0" borderId="7" xfId="0" applyNumberFormat="1" applyFont="1" applyFill="1" applyBorder="1" applyAlignment="1"/>
    <xf numFmtId="49" fontId="7" fillId="0" borderId="7" xfId="0" applyNumberFormat="1" applyFont="1" applyFill="1" applyBorder="1"/>
    <xf numFmtId="49" fontId="7" fillId="0" borderId="12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9" fillId="0" borderId="9" xfId="0" applyNumberFormat="1" applyFont="1" applyFill="1" applyBorder="1" applyAlignment="1"/>
    <xf numFmtId="49" fontId="10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top" wrapText="1"/>
    </xf>
    <xf numFmtId="164" fontId="3" fillId="0" borderId="10" xfId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 vertical="top"/>
    </xf>
    <xf numFmtId="49" fontId="3" fillId="0" borderId="9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4" fillId="0" borderId="8" xfId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3" fillId="0" borderId="1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7" fillId="0" borderId="15" xfId="0" applyNumberFormat="1" applyFont="1" applyFill="1" applyBorder="1" applyAlignment="1">
      <alignment horizontal="center" vertical="top" wrapText="1"/>
    </xf>
    <xf numFmtId="49" fontId="7" fillId="0" borderId="16" xfId="1" applyNumberFormat="1" applyFont="1" applyFill="1" applyBorder="1" applyAlignment="1">
      <alignment horizontal="center" vertical="top" wrapText="1"/>
    </xf>
    <xf numFmtId="49" fontId="3" fillId="0" borderId="5" xfId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49" fontId="9" fillId="0" borderId="3" xfId="0" applyNumberFormat="1" applyFont="1" applyFill="1" applyBorder="1" applyAlignment="1"/>
    <xf numFmtId="49" fontId="4" fillId="0" borderId="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left"/>
    </xf>
    <xf numFmtId="49" fontId="7" fillId="0" borderId="16" xfId="0" applyNumberFormat="1" applyFont="1" applyFill="1" applyBorder="1" applyAlignment="1">
      <alignment vertical="top" wrapText="1"/>
    </xf>
    <xf numFmtId="49" fontId="7" fillId="0" borderId="1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left"/>
    </xf>
    <xf numFmtId="49" fontId="3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0" fontId="5" fillId="0" borderId="0" xfId="0" applyFont="1" applyFill="1" applyBorder="1"/>
    <xf numFmtId="164" fontId="7" fillId="0" borderId="4" xfId="1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top" wrapText="1"/>
    </xf>
    <xf numFmtId="0" fontId="7" fillId="0" borderId="12" xfId="0" applyFont="1" applyFill="1" applyBorder="1"/>
    <xf numFmtId="164" fontId="7" fillId="0" borderId="9" xfId="1" applyFont="1" applyFill="1" applyBorder="1" applyAlignment="1">
      <alignment horizontal="left"/>
    </xf>
    <xf numFmtId="0" fontId="7" fillId="0" borderId="9" xfId="0" applyFont="1" applyFill="1" applyBorder="1" applyAlignment="1">
      <alignment horizontal="left" vertical="top" wrapText="1"/>
    </xf>
    <xf numFmtId="164" fontId="7" fillId="0" borderId="8" xfId="1" applyFont="1" applyFill="1" applyBorder="1" applyAlignment="1">
      <alignment horizontal="left"/>
    </xf>
    <xf numFmtId="0" fontId="7" fillId="0" borderId="8" xfId="0" applyFont="1" applyFill="1" applyBorder="1" applyAlignment="1"/>
    <xf numFmtId="0" fontId="7" fillId="0" borderId="9" xfId="0" applyFont="1" applyFill="1" applyBorder="1"/>
    <xf numFmtId="0" fontId="7" fillId="0" borderId="1" xfId="0" applyFont="1" applyFill="1" applyBorder="1" applyAlignment="1"/>
    <xf numFmtId="0" fontId="3" fillId="0" borderId="8" xfId="0" applyFont="1" applyFill="1" applyBorder="1" applyAlignment="1"/>
    <xf numFmtId="0" fontId="7" fillId="0" borderId="18" xfId="0" applyFont="1" applyFill="1" applyBorder="1" applyAlignment="1"/>
    <xf numFmtId="0" fontId="3" fillId="0" borderId="19" xfId="0" applyFont="1" applyFill="1" applyBorder="1" applyAlignment="1"/>
    <xf numFmtId="0" fontId="7" fillId="0" borderId="13" xfId="0" applyFont="1" applyFill="1" applyBorder="1" applyAlignment="1"/>
    <xf numFmtId="164" fontId="7" fillId="0" borderId="13" xfId="1" applyFont="1" applyFill="1" applyBorder="1" applyAlignment="1">
      <alignment horizontal="left"/>
    </xf>
    <xf numFmtId="164" fontId="7" fillId="0" borderId="10" xfId="1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" fontId="13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3" fontId="13" fillId="2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4" fontId="1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5" fillId="3" borderId="0" xfId="0" applyNumberFormat="1" applyFont="1" applyFill="1" applyAlignment="1">
      <alignment vertical="top"/>
    </xf>
    <xf numFmtId="167" fontId="0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17" fillId="0" borderId="0" xfId="1" applyNumberFormat="1" applyFont="1" applyAlignment="1">
      <alignment vertical="top"/>
    </xf>
    <xf numFmtId="167" fontId="13" fillId="0" borderId="1" xfId="1" applyNumberFormat="1" applyFont="1" applyBorder="1" applyAlignment="1">
      <alignment vertical="top"/>
    </xf>
    <xf numFmtId="167" fontId="17" fillId="0" borderId="1" xfId="1" applyNumberFormat="1" applyFont="1" applyBorder="1" applyAlignment="1">
      <alignment vertical="top"/>
    </xf>
    <xf numFmtId="167" fontId="13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167" fontId="1" fillId="0" borderId="6" xfId="1" applyNumberFormat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167" fontId="1" fillId="0" borderId="0" xfId="1" applyNumberFormat="1" applyFont="1" applyBorder="1" applyAlignment="1">
      <alignment vertical="top"/>
    </xf>
    <xf numFmtId="167" fontId="1" fillId="4" borderId="6" xfId="1" applyNumberFormat="1" applyFont="1" applyFill="1" applyBorder="1" applyAlignment="1">
      <alignment vertical="top"/>
    </xf>
    <xf numFmtId="167" fontId="1" fillId="5" borderId="6" xfId="1" applyNumberFormat="1" applyFont="1" applyFill="1" applyBorder="1" applyAlignment="1">
      <alignment vertical="top"/>
    </xf>
    <xf numFmtId="167" fontId="1" fillId="3" borderId="6" xfId="1" applyNumberFormat="1" applyFont="1" applyFill="1" applyBorder="1" applyAlignment="1">
      <alignment vertical="top"/>
    </xf>
    <xf numFmtId="167" fontId="1" fillId="2" borderId="6" xfId="1" applyNumberFormat="1" applyFont="1" applyFill="1" applyBorder="1" applyAlignment="1">
      <alignment vertical="top"/>
    </xf>
    <xf numFmtId="167" fontId="13" fillId="6" borderId="6" xfId="1" applyNumberFormat="1" applyFont="1" applyFill="1" applyBorder="1" applyAlignment="1">
      <alignment vertical="top"/>
    </xf>
    <xf numFmtId="167" fontId="1" fillId="6" borderId="6" xfId="1" applyNumberFormat="1" applyFont="1" applyFill="1" applyBorder="1" applyAlignment="1">
      <alignment vertical="top"/>
    </xf>
    <xf numFmtId="40" fontId="3" fillId="0" borderId="7" xfId="1" applyNumberFormat="1" applyFont="1" applyFill="1" applyBorder="1" applyAlignment="1"/>
    <xf numFmtId="40" fontId="7" fillId="0" borderId="7" xfId="1" applyNumberFormat="1" applyFont="1" applyFill="1" applyBorder="1" applyAlignment="1"/>
    <xf numFmtId="40" fontId="3" fillId="5" borderId="7" xfId="1" applyNumberFormat="1" applyFont="1" applyFill="1" applyBorder="1" applyAlignment="1"/>
    <xf numFmtId="40" fontId="7" fillId="0" borderId="9" xfId="1" applyNumberFormat="1" applyFont="1" applyFill="1" applyBorder="1" applyAlignment="1"/>
    <xf numFmtId="40" fontId="7" fillId="0" borderId="12" xfId="1" applyNumberFormat="1" applyFont="1" applyFill="1" applyBorder="1" applyAlignment="1"/>
    <xf numFmtId="40" fontId="7" fillId="0" borderId="8" xfId="1" applyNumberFormat="1" applyFont="1" applyFill="1" applyBorder="1" applyAlignment="1"/>
    <xf numFmtId="40" fontId="7" fillId="0" borderId="1" xfId="1" applyNumberFormat="1" applyFont="1" applyFill="1" applyBorder="1" applyAlignment="1"/>
    <xf numFmtId="40" fontId="3" fillId="0" borderId="9" xfId="1" applyNumberFormat="1" applyFont="1" applyFill="1" applyBorder="1" applyAlignment="1"/>
    <xf numFmtId="40" fontId="4" fillId="0" borderId="8" xfId="1" applyNumberFormat="1" applyFont="1" applyFill="1" applyBorder="1" applyAlignment="1"/>
    <xf numFmtId="40" fontId="3" fillId="0" borderId="12" xfId="1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164" fontId="4" fillId="0" borderId="0" xfId="1" applyFont="1" applyFill="1" applyBorder="1"/>
    <xf numFmtId="49" fontId="3" fillId="3" borderId="7" xfId="1" applyNumberFormat="1" applyFont="1" applyFill="1" applyBorder="1" applyAlignment="1">
      <alignment horizontal="center"/>
    </xf>
    <xf numFmtId="49" fontId="3" fillId="3" borderId="7" xfId="0" applyNumberFormat="1" applyFont="1" applyFill="1" applyBorder="1"/>
    <xf numFmtId="167" fontId="0" fillId="0" borderId="0" xfId="0" applyNumberFormat="1" applyAlignment="1">
      <alignment vertical="top"/>
    </xf>
    <xf numFmtId="167" fontId="13" fillId="5" borderId="2" xfId="1" applyNumberFormat="1" applyFont="1" applyFill="1" applyBorder="1" applyAlignment="1">
      <alignment vertical="top"/>
    </xf>
    <xf numFmtId="167" fontId="13" fillId="5" borderId="6" xfId="1" applyNumberFormat="1" applyFont="1" applyFill="1" applyBorder="1" applyAlignment="1">
      <alignment vertical="top"/>
    </xf>
    <xf numFmtId="168" fontId="3" fillId="0" borderId="12" xfId="1" applyNumberFormat="1" applyFont="1" applyFill="1" applyBorder="1" applyAlignment="1"/>
    <xf numFmtId="168" fontId="3" fillId="0" borderId="8" xfId="1" applyNumberFormat="1" applyFont="1" applyFill="1" applyBorder="1" applyAlignment="1"/>
    <xf numFmtId="168" fontId="7" fillId="0" borderId="1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7" fillId="0" borderId="12" xfId="1" applyNumberFormat="1" applyFont="1" applyFill="1" applyBorder="1" applyAlignment="1"/>
    <xf numFmtId="168" fontId="3" fillId="3" borderId="7" xfId="1" applyNumberFormat="1" applyFont="1" applyFill="1" applyBorder="1" applyAlignment="1"/>
    <xf numFmtId="40" fontId="7" fillId="3" borderId="13" xfId="1" applyNumberFormat="1" applyFont="1" applyFill="1" applyBorder="1" applyAlignment="1"/>
    <xf numFmtId="164" fontId="4" fillId="0" borderId="0" xfId="1" applyNumberFormat="1" applyFont="1" applyFill="1" applyBorder="1"/>
    <xf numFmtId="168" fontId="4" fillId="0" borderId="0" xfId="0" applyNumberFormat="1" applyFont="1" applyFill="1" applyBorder="1"/>
    <xf numFmtId="167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37" fontId="21" fillId="0" borderId="0" xfId="0" applyNumberFormat="1" applyFont="1" applyAlignment="1">
      <alignment vertical="center"/>
    </xf>
    <xf numFmtId="164" fontId="3" fillId="0" borderId="9" xfId="1" applyFont="1" applyFill="1" applyBorder="1" applyAlignment="1">
      <alignment horizontal="left"/>
    </xf>
    <xf numFmtId="37" fontId="22" fillId="0" borderId="0" xfId="0" applyNumberFormat="1" applyFont="1" applyAlignment="1">
      <alignment vertical="center"/>
    </xf>
    <xf numFmtId="37" fontId="21" fillId="0" borderId="1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/>
    <xf numFmtId="49" fontId="27" fillId="0" borderId="7" xfId="1" applyNumberFormat="1" applyFont="1" applyFill="1" applyBorder="1" applyAlignment="1">
      <alignment horizontal="left"/>
    </xf>
    <xf numFmtId="49" fontId="19" fillId="0" borderId="7" xfId="1" applyNumberFormat="1" applyFont="1" applyFill="1" applyBorder="1" applyAlignment="1">
      <alignment horizontal="left"/>
    </xf>
    <xf numFmtId="49" fontId="19" fillId="0" borderId="7" xfId="0" applyNumberFormat="1" applyFont="1" applyFill="1" applyBorder="1"/>
    <xf numFmtId="49" fontId="27" fillId="0" borderId="7" xfId="0" applyNumberFormat="1" applyFont="1" applyFill="1" applyBorder="1"/>
    <xf numFmtId="164" fontId="4" fillId="3" borderId="0" xfId="1" applyNumberFormat="1" applyFont="1" applyFill="1" applyBorder="1"/>
    <xf numFmtId="164" fontId="4" fillId="3" borderId="0" xfId="1" applyFont="1" applyFill="1" applyBorder="1"/>
    <xf numFmtId="0" fontId="0" fillId="3" borderId="0" xfId="1" applyNumberFormat="1" applyFont="1" applyFill="1" applyAlignment="1">
      <alignment horizontal="center" vertical="center"/>
    </xf>
    <xf numFmtId="0" fontId="30" fillId="0" borderId="0" xfId="0" applyFont="1" applyFill="1" applyBorder="1"/>
    <xf numFmtId="0" fontId="30" fillId="0" borderId="0" xfId="0" applyFont="1" applyFill="1" applyBorder="1" applyAlignment="1">
      <alignment wrapText="1"/>
    </xf>
    <xf numFmtId="0" fontId="31" fillId="0" borderId="0" xfId="0" applyFont="1" applyFill="1" applyBorder="1"/>
    <xf numFmtId="0" fontId="30" fillId="3" borderId="0" xfId="0" applyFont="1" applyFill="1" applyBorder="1"/>
    <xf numFmtId="0" fontId="15" fillId="0" borderId="0" xfId="0" applyFont="1" applyAlignment="1">
      <alignment vertical="top"/>
    </xf>
    <xf numFmtId="0" fontId="13" fillId="7" borderId="0" xfId="0" applyFont="1" applyFill="1" applyAlignment="1">
      <alignment vertical="top"/>
    </xf>
    <xf numFmtId="167" fontId="1" fillId="7" borderId="6" xfId="1" applyNumberFormat="1" applyFont="1" applyFill="1" applyBorder="1" applyAlignment="1">
      <alignment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top" wrapText="1"/>
    </xf>
    <xf numFmtId="49" fontId="3" fillId="0" borderId="8" xfId="0" applyNumberFormat="1" applyFont="1" applyFill="1" applyBorder="1" applyAlignment="1">
      <alignment horizontal="left" vertical="top" wrapText="1"/>
    </xf>
    <xf numFmtId="49" fontId="3" fillId="0" borderId="9" xfId="0" applyNumberFormat="1" applyFont="1" applyFill="1" applyBorder="1" applyAlignment="1">
      <alignment horizontal="left" vertical="top" wrapText="1"/>
    </xf>
    <xf numFmtId="167" fontId="16" fillId="0" borderId="1" xfId="1" applyNumberFormat="1" applyFont="1" applyBorder="1" applyAlignment="1">
      <alignment horizontal="center" vertical="top"/>
    </xf>
    <xf numFmtId="167" fontId="13" fillId="0" borderId="1" xfId="1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30" fillId="0" borderId="1" xfId="0" applyFont="1" applyFill="1" applyBorder="1"/>
    <xf numFmtId="0" fontId="33" fillId="0" borderId="1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32" fillId="0" borderId="1" xfId="0" applyFont="1" applyFill="1" applyBorder="1"/>
    <xf numFmtId="40" fontId="30" fillId="0" borderId="1" xfId="0" applyNumberFormat="1" applyFont="1" applyFill="1" applyBorder="1"/>
    <xf numFmtId="164" fontId="30" fillId="0" borderId="1" xfId="1" applyFont="1" applyFill="1" applyBorder="1"/>
    <xf numFmtId="0" fontId="30" fillId="0" borderId="1" xfId="0" applyFont="1" applyFill="1" applyBorder="1" applyAlignment="1">
      <alignment horizontal="left"/>
    </xf>
    <xf numFmtId="0" fontId="34" fillId="0" borderId="1" xfId="0" applyFont="1" applyBorder="1" applyAlignment="1">
      <alignment vertical="top"/>
    </xf>
    <xf numFmtId="0" fontId="35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3333FF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45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45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550</v>
      </c>
    </row>
    <row r="2" spans="1:11">
      <c r="A2" s="1" t="s">
        <v>1</v>
      </c>
      <c r="G2" s="1" t="s">
        <v>551</v>
      </c>
    </row>
    <row r="3" spans="1:11">
      <c r="A3" s="1" t="s">
        <v>2</v>
      </c>
      <c r="G3" s="1" t="s">
        <v>552</v>
      </c>
    </row>
    <row r="4" spans="1:11" ht="23.25">
      <c r="B4" s="185" t="s">
        <v>3</v>
      </c>
      <c r="C4" s="185"/>
      <c r="D4" s="185"/>
      <c r="E4" s="185"/>
      <c r="H4" s="186" t="s">
        <v>553</v>
      </c>
      <c r="I4" s="187"/>
      <c r="J4" s="187"/>
      <c r="K4" s="187"/>
    </row>
    <row r="5" spans="1:11">
      <c r="B5" s="188" t="s">
        <v>58</v>
      </c>
      <c r="C5" s="188"/>
      <c r="D5" s="188"/>
      <c r="E5" s="188"/>
      <c r="H5" s="188" t="s">
        <v>554</v>
      </c>
      <c r="I5" s="188"/>
      <c r="J5" s="188"/>
      <c r="K5" s="188"/>
    </row>
    <row r="6" spans="1:11">
      <c r="A6" s="3"/>
      <c r="B6" s="189" t="s">
        <v>4</v>
      </c>
      <c r="C6" s="189"/>
      <c r="D6" s="189"/>
      <c r="E6" s="189"/>
      <c r="G6" s="3"/>
      <c r="H6" s="189" t="s">
        <v>555</v>
      </c>
      <c r="I6" s="189"/>
      <c r="J6" s="189"/>
      <c r="K6" s="189"/>
    </row>
    <row r="7" spans="1:11" s="4" customFormat="1">
      <c r="A7" s="196" t="s">
        <v>5</v>
      </c>
      <c r="B7" s="190" t="s">
        <v>12</v>
      </c>
      <c r="C7" s="190" t="s">
        <v>6</v>
      </c>
      <c r="D7" s="192" t="s">
        <v>7</v>
      </c>
      <c r="E7" s="192"/>
      <c r="G7" s="196" t="s">
        <v>556</v>
      </c>
      <c r="H7" s="190" t="s">
        <v>557</v>
      </c>
      <c r="I7" s="190" t="s">
        <v>558</v>
      </c>
      <c r="J7" s="192" t="s">
        <v>559</v>
      </c>
      <c r="K7" s="192"/>
    </row>
    <row r="8" spans="1:11" s="4" customFormat="1">
      <c r="A8" s="196"/>
      <c r="B8" s="191"/>
      <c r="C8" s="191"/>
      <c r="D8" s="38" t="s">
        <v>59</v>
      </c>
      <c r="E8" s="147" t="s">
        <v>60</v>
      </c>
      <c r="G8" s="196"/>
      <c r="H8" s="191"/>
      <c r="I8" s="191"/>
      <c r="J8" s="38" t="s">
        <v>560</v>
      </c>
      <c r="K8" s="147" t="s">
        <v>561</v>
      </c>
    </row>
    <row r="9" spans="1:11" s="7" customFormat="1">
      <c r="A9" s="5" t="s">
        <v>8</v>
      </c>
      <c r="B9" s="6" t="s">
        <v>9</v>
      </c>
      <c r="C9" s="6"/>
      <c r="D9" s="88"/>
      <c r="E9" s="88"/>
      <c r="G9" s="5" t="s">
        <v>8</v>
      </c>
      <c r="H9" s="165" t="s">
        <v>562</v>
      </c>
      <c r="I9" s="6"/>
      <c r="J9" s="88"/>
      <c r="K9" s="88"/>
    </row>
    <row r="10" spans="1:11">
      <c r="A10" s="8"/>
      <c r="B10" s="9" t="s">
        <v>15</v>
      </c>
      <c r="C10" s="9"/>
      <c r="D10" s="24">
        <v>0</v>
      </c>
      <c r="E10" s="24">
        <v>0</v>
      </c>
      <c r="G10" s="8"/>
      <c r="H10" s="9" t="s">
        <v>563</v>
      </c>
      <c r="I10" s="9"/>
      <c r="J10" s="24">
        <v>0</v>
      </c>
      <c r="K10" s="24">
        <v>0</v>
      </c>
    </row>
    <row r="11" spans="1:11">
      <c r="A11" s="8"/>
      <c r="B11" s="11" t="s">
        <v>16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564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17</v>
      </c>
      <c r="C12" s="11"/>
      <c r="D12" s="24">
        <v>0</v>
      </c>
      <c r="E12" s="24">
        <v>0</v>
      </c>
      <c r="G12" s="8"/>
      <c r="H12" s="11" t="s">
        <v>565</v>
      </c>
      <c r="I12" s="11"/>
      <c r="J12" s="24">
        <v>0</v>
      </c>
      <c r="K12" s="24">
        <v>0</v>
      </c>
    </row>
    <row r="13" spans="1:11">
      <c r="A13" s="8"/>
      <c r="B13" s="11" t="s">
        <v>18</v>
      </c>
      <c r="C13" s="11"/>
      <c r="D13" s="24">
        <v>0</v>
      </c>
      <c r="E13" s="24">
        <v>0</v>
      </c>
      <c r="G13" s="8"/>
      <c r="H13" s="11" t="s">
        <v>566</v>
      </c>
      <c r="I13" s="11"/>
      <c r="J13" s="24">
        <v>0</v>
      </c>
      <c r="K13" s="24">
        <v>0</v>
      </c>
    </row>
    <row r="14" spans="1:11">
      <c r="A14" s="8"/>
      <c r="B14" s="11" t="s">
        <v>19</v>
      </c>
      <c r="C14" s="11"/>
      <c r="D14" s="24">
        <v>0</v>
      </c>
      <c r="E14" s="24">
        <v>0</v>
      </c>
      <c r="F14" s="17"/>
      <c r="G14" s="8"/>
      <c r="H14" s="11" t="s">
        <v>567</v>
      </c>
      <c r="I14" s="11"/>
      <c r="J14" s="24">
        <v>0</v>
      </c>
      <c r="K14" s="24">
        <v>0</v>
      </c>
    </row>
    <row r="15" spans="1:11">
      <c r="A15" s="8"/>
      <c r="B15" s="11" t="s">
        <v>20</v>
      </c>
      <c r="C15" s="31"/>
      <c r="D15" s="24">
        <v>0</v>
      </c>
      <c r="E15" s="24">
        <v>0</v>
      </c>
      <c r="G15" s="8"/>
      <c r="H15" s="11" t="s">
        <v>568</v>
      </c>
      <c r="I15" s="31"/>
      <c r="J15" s="24">
        <v>0</v>
      </c>
      <c r="K15" s="24">
        <v>0</v>
      </c>
    </row>
    <row r="16" spans="1:11">
      <c r="A16" s="8"/>
      <c r="B16" s="11" t="s">
        <v>21</v>
      </c>
      <c r="C16" s="31"/>
      <c r="D16" s="24">
        <v>0</v>
      </c>
      <c r="E16" s="24">
        <v>0</v>
      </c>
      <c r="G16" s="8"/>
      <c r="H16" s="11" t="s">
        <v>569</v>
      </c>
      <c r="I16" s="31"/>
      <c r="J16" s="24">
        <v>0</v>
      </c>
      <c r="K16" s="24">
        <v>0</v>
      </c>
    </row>
    <row r="17" spans="1:11">
      <c r="A17" s="8"/>
      <c r="B17" s="11" t="s">
        <v>22</v>
      </c>
      <c r="C17" s="31"/>
      <c r="D17" s="24">
        <v>0</v>
      </c>
      <c r="E17" s="24">
        <v>0</v>
      </c>
      <c r="G17" s="8"/>
      <c r="H17" s="11" t="s">
        <v>570</v>
      </c>
      <c r="I17" s="31"/>
      <c r="J17" s="24">
        <v>0</v>
      </c>
      <c r="K17" s="24">
        <v>0</v>
      </c>
    </row>
    <row r="18" spans="1:11" ht="18.75" customHeight="1">
      <c r="A18" s="8"/>
      <c r="B18" s="89" t="s">
        <v>32</v>
      </c>
      <c r="C18" s="90"/>
      <c r="D18" s="91">
        <f>+D10+D11</f>
        <v>0</v>
      </c>
      <c r="E18" s="91">
        <f>+E10+E11</f>
        <v>0</v>
      </c>
      <c r="G18" s="8"/>
      <c r="H18" s="89" t="s">
        <v>571</v>
      </c>
      <c r="I18" s="90"/>
      <c r="J18" s="91">
        <f>+J10+J11</f>
        <v>0</v>
      </c>
      <c r="K18" s="91">
        <f>+K10+K11</f>
        <v>0</v>
      </c>
    </row>
    <row r="19" spans="1:11">
      <c r="A19" s="8"/>
      <c r="B19" s="16" t="s">
        <v>31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572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23</v>
      </c>
      <c r="C20" s="31"/>
      <c r="D20" s="24">
        <v>0</v>
      </c>
      <c r="E20" s="24">
        <v>0</v>
      </c>
      <c r="G20" s="8"/>
      <c r="H20" s="15" t="s">
        <v>573</v>
      </c>
      <c r="I20" s="31"/>
      <c r="J20" s="24">
        <v>0</v>
      </c>
      <c r="K20" s="24">
        <v>0</v>
      </c>
    </row>
    <row r="21" spans="1:11">
      <c r="A21" s="8"/>
      <c r="B21" s="15" t="s">
        <v>24</v>
      </c>
      <c r="C21" s="31"/>
      <c r="D21" s="24">
        <v>0</v>
      </c>
      <c r="E21" s="24">
        <v>0</v>
      </c>
      <c r="G21" s="8"/>
      <c r="H21" s="15" t="s">
        <v>574</v>
      </c>
      <c r="I21" s="31"/>
      <c r="J21" s="24">
        <v>0</v>
      </c>
      <c r="K21" s="24">
        <v>0</v>
      </c>
    </row>
    <row r="22" spans="1:11">
      <c r="A22" s="8"/>
      <c r="B22" s="15" t="s">
        <v>25</v>
      </c>
      <c r="C22" s="31"/>
      <c r="D22" s="24">
        <v>0</v>
      </c>
      <c r="E22" s="24">
        <v>0</v>
      </c>
      <c r="G22" s="8"/>
      <c r="H22" s="15" t="s">
        <v>575</v>
      </c>
      <c r="I22" s="31"/>
      <c r="J22" s="24">
        <v>0</v>
      </c>
      <c r="K22" s="24">
        <v>0</v>
      </c>
    </row>
    <row r="23" spans="1:11">
      <c r="A23" s="8"/>
      <c r="B23" s="15" t="s">
        <v>26</v>
      </c>
      <c r="C23" s="31"/>
      <c r="D23" s="24">
        <v>0</v>
      </c>
      <c r="E23" s="24">
        <v>0</v>
      </c>
      <c r="G23" s="8"/>
      <c r="H23" s="15" t="s">
        <v>576</v>
      </c>
      <c r="I23" s="31"/>
      <c r="J23" s="24">
        <v>0</v>
      </c>
      <c r="K23" s="24">
        <v>0</v>
      </c>
    </row>
    <row r="24" spans="1:11">
      <c r="A24" s="8"/>
      <c r="B24" s="15" t="s">
        <v>27</v>
      </c>
      <c r="C24" s="31"/>
      <c r="D24" s="24">
        <v>0</v>
      </c>
      <c r="E24" s="24">
        <v>0</v>
      </c>
      <c r="G24" s="8"/>
      <c r="H24" s="15" t="s">
        <v>577</v>
      </c>
      <c r="I24" s="31"/>
      <c r="J24" s="24">
        <v>0</v>
      </c>
      <c r="K24" s="24">
        <v>0</v>
      </c>
    </row>
    <row r="25" spans="1:11">
      <c r="A25" s="8"/>
      <c r="B25" s="15" t="s">
        <v>28</v>
      </c>
      <c r="C25" s="11"/>
      <c r="D25" s="24">
        <v>0</v>
      </c>
      <c r="E25" s="24">
        <v>0</v>
      </c>
      <c r="G25" s="8"/>
      <c r="H25" s="15" t="s">
        <v>578</v>
      </c>
      <c r="I25" s="11"/>
      <c r="J25" s="24">
        <v>0</v>
      </c>
      <c r="K25" s="24">
        <v>0</v>
      </c>
    </row>
    <row r="26" spans="1:11">
      <c r="A26" s="8"/>
      <c r="B26" s="15" t="s">
        <v>29</v>
      </c>
      <c r="C26" s="11"/>
      <c r="D26" s="24">
        <v>0</v>
      </c>
      <c r="E26" s="24">
        <v>0</v>
      </c>
      <c r="G26" s="8"/>
      <c r="H26" s="15" t="s">
        <v>579</v>
      </c>
      <c r="I26" s="11"/>
      <c r="J26" s="24">
        <v>0</v>
      </c>
      <c r="K26" s="24">
        <v>0</v>
      </c>
    </row>
    <row r="27" spans="1:11">
      <c r="A27" s="8"/>
      <c r="B27" s="15" t="s">
        <v>30</v>
      </c>
      <c r="C27" s="11"/>
      <c r="D27" s="24">
        <v>0</v>
      </c>
      <c r="E27" s="24">
        <v>0</v>
      </c>
      <c r="G27" s="8"/>
      <c r="H27" s="15" t="s">
        <v>580</v>
      </c>
      <c r="I27" s="11"/>
      <c r="J27" s="24">
        <v>0</v>
      </c>
      <c r="K27" s="24">
        <v>0</v>
      </c>
    </row>
    <row r="28" spans="1:11">
      <c r="A28" s="36"/>
      <c r="B28" s="92" t="s">
        <v>33</v>
      </c>
      <c r="C28" s="10"/>
      <c r="D28" s="32">
        <f>+D19</f>
        <v>0</v>
      </c>
      <c r="E28" s="26">
        <f>+E19</f>
        <v>0</v>
      </c>
      <c r="G28" s="36"/>
      <c r="H28" s="92" t="s">
        <v>581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34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582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35</v>
      </c>
      <c r="C30" s="31"/>
      <c r="D30" s="24">
        <v>0</v>
      </c>
      <c r="E30" s="24">
        <v>0</v>
      </c>
      <c r="F30" s="59"/>
      <c r="G30" s="8"/>
      <c r="H30" s="16" t="s">
        <v>583</v>
      </c>
      <c r="I30" s="31"/>
      <c r="J30" s="24">
        <v>0</v>
      </c>
      <c r="K30" s="24">
        <v>0</v>
      </c>
    </row>
    <row r="31" spans="1:11">
      <c r="A31" s="8"/>
      <c r="B31" s="16" t="s">
        <v>36</v>
      </c>
      <c r="C31" s="31"/>
      <c r="D31" s="24">
        <v>0</v>
      </c>
      <c r="E31" s="24">
        <v>0</v>
      </c>
      <c r="F31" s="23"/>
      <c r="G31" s="8"/>
      <c r="H31" s="16" t="s">
        <v>584</v>
      </c>
      <c r="I31" s="31"/>
      <c r="J31" s="24">
        <v>0</v>
      </c>
      <c r="K31" s="24">
        <v>0</v>
      </c>
    </row>
    <row r="32" spans="1:11">
      <c r="A32" s="8"/>
      <c r="B32" s="11" t="s">
        <v>107</v>
      </c>
      <c r="C32" s="31"/>
      <c r="D32" s="24">
        <v>0</v>
      </c>
      <c r="E32" s="24">
        <v>0</v>
      </c>
      <c r="G32" s="8"/>
      <c r="H32" s="11" t="s">
        <v>585</v>
      </c>
      <c r="I32" s="31"/>
      <c r="J32" s="24">
        <v>0</v>
      </c>
      <c r="K32" s="24">
        <v>0</v>
      </c>
    </row>
    <row r="33" spans="1:11">
      <c r="A33" s="8"/>
      <c r="B33" s="11" t="s">
        <v>108</v>
      </c>
      <c r="C33" s="11"/>
      <c r="D33" s="24">
        <v>0</v>
      </c>
      <c r="E33" s="24">
        <v>0</v>
      </c>
      <c r="G33" s="8"/>
      <c r="H33" s="11" t="s">
        <v>586</v>
      </c>
      <c r="I33" s="11"/>
      <c r="J33" s="24">
        <v>0</v>
      </c>
      <c r="K33" s="24">
        <v>0</v>
      </c>
    </row>
    <row r="34" spans="1:11">
      <c r="A34" s="8"/>
      <c r="B34" s="11" t="s">
        <v>109</v>
      </c>
      <c r="C34" s="11"/>
      <c r="D34" s="24">
        <v>0</v>
      </c>
      <c r="E34" s="24">
        <v>0</v>
      </c>
      <c r="G34" s="8"/>
      <c r="H34" s="11" t="s">
        <v>587</v>
      </c>
      <c r="I34" s="11"/>
      <c r="J34" s="24">
        <v>0</v>
      </c>
      <c r="K34" s="24">
        <v>0</v>
      </c>
    </row>
    <row r="35" spans="1:11">
      <c r="A35" s="8"/>
      <c r="B35" s="11" t="s">
        <v>110</v>
      </c>
      <c r="C35" s="11"/>
      <c r="D35" s="24">
        <v>0</v>
      </c>
      <c r="E35" s="24">
        <v>0</v>
      </c>
      <c r="G35" s="8"/>
      <c r="H35" s="11" t="s">
        <v>588</v>
      </c>
      <c r="I35" s="11"/>
      <c r="J35" s="24">
        <v>0</v>
      </c>
      <c r="K35" s="24">
        <v>0</v>
      </c>
    </row>
    <row r="36" spans="1:11">
      <c r="A36" s="36"/>
      <c r="B36" s="94" t="s">
        <v>41</v>
      </c>
      <c r="C36" s="12"/>
      <c r="D36" s="93">
        <f>+D29</f>
        <v>0</v>
      </c>
      <c r="E36" s="93">
        <f>+E29</f>
        <v>0</v>
      </c>
      <c r="G36" s="36"/>
      <c r="H36" s="94" t="s">
        <v>589</v>
      </c>
      <c r="I36" s="12"/>
      <c r="J36" s="93">
        <f>+J29</f>
        <v>0</v>
      </c>
      <c r="K36" s="93">
        <f>+K29</f>
        <v>0</v>
      </c>
    </row>
    <row r="37" spans="1:11">
      <c r="A37" s="8"/>
      <c r="B37" s="96" t="s">
        <v>42</v>
      </c>
      <c r="C37" s="9"/>
      <c r="D37" s="27">
        <f>+D18+D28+D36</f>
        <v>0</v>
      </c>
      <c r="E37" s="27">
        <f>+E18+E28+E36</f>
        <v>0</v>
      </c>
      <c r="G37" s="8"/>
      <c r="H37" s="96" t="s">
        <v>590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43</v>
      </c>
      <c r="B38" s="95" t="s">
        <v>44</v>
      </c>
      <c r="C38" s="9"/>
      <c r="D38" s="166"/>
      <c r="E38" s="13"/>
      <c r="G38" s="8" t="s">
        <v>43</v>
      </c>
      <c r="H38" s="95" t="s">
        <v>591</v>
      </c>
      <c r="I38" s="9"/>
      <c r="J38" s="166"/>
      <c r="K38" s="13"/>
    </row>
    <row r="39" spans="1:11">
      <c r="A39" s="8"/>
      <c r="B39" s="9" t="s">
        <v>46</v>
      </c>
      <c r="C39" s="12"/>
      <c r="D39" s="24">
        <v>0</v>
      </c>
      <c r="E39" s="24">
        <v>0</v>
      </c>
      <c r="G39" s="8"/>
      <c r="H39" s="9" t="s">
        <v>592</v>
      </c>
      <c r="I39" s="12"/>
      <c r="J39" s="24">
        <v>0</v>
      </c>
      <c r="K39" s="24">
        <v>0</v>
      </c>
    </row>
    <row r="40" spans="1:11">
      <c r="A40" s="8"/>
      <c r="B40" s="9" t="s">
        <v>45</v>
      </c>
      <c r="C40" s="40"/>
      <c r="D40" s="41">
        <v>0</v>
      </c>
      <c r="E40" s="41">
        <v>0</v>
      </c>
      <c r="G40" s="8"/>
      <c r="H40" s="9" t="s">
        <v>593</v>
      </c>
      <c r="I40" s="40"/>
      <c r="J40" s="41">
        <v>0</v>
      </c>
      <c r="K40" s="41">
        <v>0</v>
      </c>
    </row>
    <row r="41" spans="1:11">
      <c r="A41" s="8"/>
      <c r="B41" s="97" t="s">
        <v>47</v>
      </c>
      <c r="C41" s="39"/>
      <c r="D41" s="30">
        <v>0</v>
      </c>
      <c r="E41" s="30">
        <v>0</v>
      </c>
      <c r="G41" s="8"/>
      <c r="H41" s="97" t="s">
        <v>594</v>
      </c>
      <c r="I41" s="39"/>
      <c r="J41" s="30">
        <v>0</v>
      </c>
      <c r="K41" s="30">
        <v>0</v>
      </c>
    </row>
    <row r="42" spans="1:11">
      <c r="A42" s="8"/>
      <c r="B42" s="96" t="s">
        <v>48</v>
      </c>
      <c r="C42" s="40"/>
      <c r="D42" s="27">
        <f>+SUM(D39:D41)</f>
        <v>0</v>
      </c>
      <c r="E42" s="27">
        <f>+SUM(E39:E41)</f>
        <v>0</v>
      </c>
      <c r="G42" s="8"/>
      <c r="H42" s="96" t="s">
        <v>595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49</v>
      </c>
      <c r="B43" s="98" t="s">
        <v>50</v>
      </c>
      <c r="C43" s="37"/>
      <c r="D43" s="37"/>
      <c r="E43" s="24"/>
      <c r="G43" s="8" t="s">
        <v>49</v>
      </c>
      <c r="H43" s="98" t="s">
        <v>596</v>
      </c>
      <c r="I43" s="37"/>
      <c r="J43" s="37"/>
      <c r="K43" s="24"/>
    </row>
    <row r="44" spans="1:11">
      <c r="A44" s="8"/>
      <c r="B44" s="39" t="s">
        <v>51</v>
      </c>
      <c r="C44" s="37"/>
      <c r="D44" s="37">
        <v>0</v>
      </c>
      <c r="E44" s="24">
        <v>0</v>
      </c>
      <c r="F44" s="29"/>
      <c r="G44" s="8"/>
      <c r="H44" s="39" t="s">
        <v>597</v>
      </c>
      <c r="I44" s="37"/>
      <c r="J44" s="37">
        <v>0</v>
      </c>
      <c r="K44" s="24">
        <v>0</v>
      </c>
    </row>
    <row r="45" spans="1:11">
      <c r="A45" s="8"/>
      <c r="B45" s="39" t="s">
        <v>52</v>
      </c>
      <c r="C45" s="37"/>
      <c r="D45" s="37">
        <v>0</v>
      </c>
      <c r="E45" s="24">
        <v>0</v>
      </c>
      <c r="G45" s="8"/>
      <c r="H45" s="39" t="s">
        <v>598</v>
      </c>
      <c r="I45" s="37"/>
      <c r="J45" s="37">
        <v>0</v>
      </c>
      <c r="K45" s="24">
        <v>0</v>
      </c>
    </row>
    <row r="46" spans="1:11">
      <c r="A46" s="8"/>
      <c r="B46" s="39" t="s">
        <v>53</v>
      </c>
      <c r="C46" s="39"/>
      <c r="D46" s="37">
        <v>0</v>
      </c>
      <c r="E46" s="24">
        <v>0</v>
      </c>
      <c r="G46" s="8"/>
      <c r="H46" s="39" t="s">
        <v>599</v>
      </c>
      <c r="I46" s="39"/>
      <c r="J46" s="37">
        <v>0</v>
      </c>
      <c r="K46" s="24">
        <v>0</v>
      </c>
    </row>
    <row r="47" spans="1:11">
      <c r="A47" s="56"/>
      <c r="B47" s="99" t="s">
        <v>54</v>
      </c>
      <c r="C47" s="37"/>
      <c r="D47" s="37">
        <v>0</v>
      </c>
      <c r="E47" s="61">
        <v>0</v>
      </c>
      <c r="G47" s="56"/>
      <c r="H47" s="99" t="s">
        <v>600</v>
      </c>
      <c r="I47" s="37"/>
      <c r="J47" s="37">
        <v>0</v>
      </c>
      <c r="K47" s="61">
        <v>0</v>
      </c>
    </row>
    <row r="48" spans="1:11" s="87" customFormat="1">
      <c r="A48" s="56"/>
      <c r="B48" s="96" t="s">
        <v>56</v>
      </c>
      <c r="C48" s="32"/>
      <c r="D48" s="27">
        <f>+SUM(D44:D47)</f>
        <v>0</v>
      </c>
      <c r="E48" s="27">
        <f>+SUM(E44:E47)</f>
        <v>0</v>
      </c>
      <c r="G48" s="56"/>
      <c r="H48" s="96" t="s">
        <v>601</v>
      </c>
      <c r="I48" s="32"/>
      <c r="J48" s="27">
        <f>+SUM(J44:J47)</f>
        <v>0</v>
      </c>
      <c r="K48" s="27">
        <f>+SUM(K44:K47)</f>
        <v>0</v>
      </c>
    </row>
    <row r="49" spans="1:11" s="87" customFormat="1">
      <c r="A49" s="56" t="s">
        <v>55</v>
      </c>
      <c r="B49" s="98" t="s">
        <v>66</v>
      </c>
      <c r="C49" s="32"/>
      <c r="D49" s="32"/>
      <c r="E49" s="26"/>
      <c r="G49" s="56" t="s">
        <v>55</v>
      </c>
      <c r="H49" s="98" t="s">
        <v>602</v>
      </c>
      <c r="I49" s="32"/>
      <c r="J49" s="32"/>
      <c r="K49" s="26"/>
    </row>
    <row r="50" spans="1:11">
      <c r="A50" s="56"/>
      <c r="B50" s="39" t="s">
        <v>61</v>
      </c>
      <c r="C50" s="37"/>
      <c r="D50" s="37">
        <f>+D37+D42+D48</f>
        <v>0</v>
      </c>
      <c r="E50" s="24">
        <f>+E37+E42+E48</f>
        <v>0</v>
      </c>
      <c r="G50" s="8"/>
      <c r="H50" s="167" t="s">
        <v>603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13</v>
      </c>
      <c r="C51" s="37"/>
      <c r="D51" s="37">
        <v>0</v>
      </c>
      <c r="E51" s="24">
        <v>0</v>
      </c>
      <c r="G51" s="8"/>
      <c r="H51" s="39" t="s">
        <v>604</v>
      </c>
      <c r="I51" s="37"/>
      <c r="J51" s="37">
        <v>0</v>
      </c>
      <c r="K51" s="24">
        <v>0</v>
      </c>
    </row>
    <row r="52" spans="1:11">
      <c r="A52" s="14"/>
      <c r="B52" s="100" t="s">
        <v>14</v>
      </c>
      <c r="C52" s="101"/>
      <c r="D52" s="101">
        <f>+SUM(D50:D51)</f>
        <v>0</v>
      </c>
      <c r="E52" s="102">
        <f>+SUM(E50:E51)</f>
        <v>0</v>
      </c>
      <c r="G52" s="14"/>
      <c r="H52" s="168" t="s">
        <v>605</v>
      </c>
      <c r="I52" s="101"/>
      <c r="J52" s="101">
        <f>+SUM(J50:J51)</f>
        <v>0</v>
      </c>
      <c r="K52" s="102">
        <f>+SUM(K50:K51)</f>
        <v>0</v>
      </c>
    </row>
    <row r="54" spans="1:11">
      <c r="B54" s="145"/>
      <c r="C54" s="145"/>
      <c r="D54" s="2" t="s">
        <v>606</v>
      </c>
      <c r="H54" s="145"/>
      <c r="I54" s="145"/>
      <c r="J54" s="193" t="s">
        <v>607</v>
      </c>
      <c r="K54" s="193"/>
    </row>
    <row r="55" spans="1:11">
      <c r="A55" s="194" t="s">
        <v>608</v>
      </c>
      <c r="B55" s="194"/>
      <c r="C55" s="194"/>
      <c r="D55" s="194"/>
      <c r="E55" s="194"/>
      <c r="G55" s="169" t="s">
        <v>609</v>
      </c>
      <c r="H55" s="170"/>
      <c r="I55" s="170"/>
      <c r="J55" s="195" t="s">
        <v>610</v>
      </c>
      <c r="K55" s="195"/>
    </row>
    <row r="72" spans="8:8">
      <c r="H72" s="11" t="s">
        <v>17</v>
      </c>
    </row>
    <row r="73" spans="8:8">
      <c r="H73" s="11" t="s">
        <v>18</v>
      </c>
    </row>
    <row r="74" spans="8:8">
      <c r="H74" s="11" t="s">
        <v>19</v>
      </c>
    </row>
    <row r="75" spans="8:8">
      <c r="H75" s="11" t="s">
        <v>20</v>
      </c>
    </row>
    <row r="102" spans="2:10">
      <c r="B102" s="145"/>
      <c r="C102" s="145"/>
      <c r="D102" s="28"/>
      <c r="H102" s="145"/>
      <c r="I102" s="145"/>
      <c r="J102" s="28"/>
    </row>
    <row r="141" spans="2:10">
      <c r="B141" s="145"/>
      <c r="C141" s="145"/>
      <c r="D141" s="28"/>
      <c r="H141" s="145"/>
      <c r="I141" s="145"/>
      <c r="J141" s="28"/>
    </row>
  </sheetData>
  <mergeCells count="17"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  <mergeCell ref="B4:E4"/>
    <mergeCell ref="H4:K4"/>
    <mergeCell ref="B5:E5"/>
    <mergeCell ref="H5:K5"/>
    <mergeCell ref="B6:E6"/>
    <mergeCell ref="H6:K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topLeftCell="A10" workbookViewId="0">
      <selection activeCell="E4" sqref="E4"/>
    </sheetView>
  </sheetViews>
  <sheetFormatPr defaultColWidth="36.625" defaultRowHeight="21.75" customHeight="1"/>
  <cols>
    <col min="1" max="1" width="5.75" style="145" customWidth="1"/>
    <col min="2" max="2" width="51.625" style="43" customWidth="1"/>
    <col min="3" max="3" width="7.5" style="62" customWidth="1"/>
    <col min="4" max="4" width="65.5" style="80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185" t="s">
        <v>3</v>
      </c>
      <c r="C4" s="185"/>
      <c r="D4" s="185"/>
    </row>
    <row r="5" spans="1:4" ht="21">
      <c r="B5" s="188" t="s">
        <v>58</v>
      </c>
      <c r="C5" s="188"/>
      <c r="D5" s="188"/>
    </row>
    <row r="6" spans="1:4" ht="21">
      <c r="A6" s="3"/>
      <c r="B6" s="189" t="s">
        <v>4</v>
      </c>
      <c r="C6" s="189"/>
      <c r="D6" s="189"/>
    </row>
    <row r="7" spans="1:4" s="4" customFormat="1" ht="21">
      <c r="A7" s="197" t="s">
        <v>5</v>
      </c>
      <c r="B7" s="44" t="s">
        <v>12</v>
      </c>
      <c r="C7" s="74"/>
      <c r="D7" s="81"/>
    </row>
    <row r="8" spans="1:4" s="4" customFormat="1" ht="21">
      <c r="A8" s="197"/>
      <c r="B8" s="44" t="s">
        <v>12</v>
      </c>
      <c r="C8" s="75" t="s">
        <v>62</v>
      </c>
      <c r="D8" s="82" t="s">
        <v>63</v>
      </c>
    </row>
    <row r="9" spans="1:4" s="7" customFormat="1" ht="21">
      <c r="A9" s="77" t="s">
        <v>8</v>
      </c>
      <c r="B9" s="45" t="s">
        <v>9</v>
      </c>
      <c r="C9" s="76"/>
      <c r="D9" s="18"/>
    </row>
    <row r="10" spans="1:4" ht="21">
      <c r="A10" s="56"/>
      <c r="B10" s="46" t="s">
        <v>15</v>
      </c>
      <c r="C10" s="63"/>
      <c r="D10" s="171" t="s">
        <v>57</v>
      </c>
    </row>
    <row r="11" spans="1:4" ht="21">
      <c r="A11" s="56"/>
      <c r="B11" s="47" t="s">
        <v>16</v>
      </c>
      <c r="C11" s="64"/>
      <c r="D11" s="20"/>
    </row>
    <row r="12" spans="1:4" ht="21">
      <c r="A12" s="56"/>
      <c r="B12" s="47" t="s">
        <v>17</v>
      </c>
      <c r="C12" s="63" t="s">
        <v>67</v>
      </c>
      <c r="D12" s="171" t="s">
        <v>68</v>
      </c>
    </row>
    <row r="13" spans="1:4" ht="21">
      <c r="A13" s="56"/>
      <c r="B13" s="47" t="s">
        <v>18</v>
      </c>
      <c r="C13" s="63" t="s">
        <v>67</v>
      </c>
      <c r="D13" s="172" t="s">
        <v>105</v>
      </c>
    </row>
    <row r="14" spans="1:4" ht="21">
      <c r="A14" s="56"/>
      <c r="B14" s="47"/>
      <c r="C14" s="63"/>
      <c r="D14" s="173" t="s">
        <v>83</v>
      </c>
    </row>
    <row r="15" spans="1:4" ht="21">
      <c r="A15" s="56"/>
      <c r="B15" s="47"/>
      <c r="C15" s="63"/>
      <c r="D15" s="173" t="s">
        <v>84</v>
      </c>
    </row>
    <row r="16" spans="1:4" ht="21">
      <c r="A16" s="56"/>
      <c r="B16" s="47"/>
      <c r="C16" s="63"/>
      <c r="D16" s="173" t="s">
        <v>85</v>
      </c>
    </row>
    <row r="17" spans="1:5" ht="21">
      <c r="A17" s="56"/>
      <c r="B17" s="47"/>
      <c r="C17" s="63"/>
      <c r="D17" s="173" t="s">
        <v>86</v>
      </c>
    </row>
    <row r="18" spans="1:5" ht="21">
      <c r="A18" s="8"/>
      <c r="B18" s="47" t="s">
        <v>19</v>
      </c>
      <c r="C18" s="63" t="s">
        <v>64</v>
      </c>
      <c r="D18" s="174" t="s">
        <v>69</v>
      </c>
      <c r="E18" s="17"/>
    </row>
    <row r="19" spans="1:5" ht="21">
      <c r="A19" s="8"/>
      <c r="B19" s="47" t="s">
        <v>20</v>
      </c>
      <c r="C19" s="63" t="s">
        <v>65</v>
      </c>
      <c r="D19" s="174" t="s">
        <v>70</v>
      </c>
    </row>
    <row r="20" spans="1:5" ht="21">
      <c r="A20" s="8"/>
      <c r="B20" s="47" t="s">
        <v>21</v>
      </c>
      <c r="C20" s="67"/>
      <c r="D20" s="150" t="s">
        <v>611</v>
      </c>
      <c r="E20" s="2" t="s">
        <v>612</v>
      </c>
    </row>
    <row r="21" spans="1:5" ht="21">
      <c r="A21" s="8"/>
      <c r="B21" s="47" t="s">
        <v>22</v>
      </c>
      <c r="C21" s="79"/>
      <c r="D21" s="150" t="s">
        <v>611</v>
      </c>
      <c r="E21" s="2" t="s">
        <v>612</v>
      </c>
    </row>
    <row r="22" spans="1:5" ht="21">
      <c r="A22" s="8"/>
      <c r="B22" s="198" t="s">
        <v>32</v>
      </c>
      <c r="C22" s="63"/>
      <c r="D22" s="19" t="s">
        <v>613</v>
      </c>
    </row>
    <row r="23" spans="1:5" ht="21">
      <c r="A23" s="8"/>
      <c r="B23" s="199"/>
      <c r="C23" s="65"/>
      <c r="D23" s="84"/>
    </row>
    <row r="24" spans="1:5" ht="21">
      <c r="A24" s="8"/>
      <c r="B24" s="48" t="s">
        <v>31</v>
      </c>
      <c r="C24" s="63"/>
      <c r="D24" s="19"/>
    </row>
    <row r="25" spans="1:5" ht="21">
      <c r="A25" s="8"/>
      <c r="B25" s="146" t="s">
        <v>23</v>
      </c>
      <c r="C25" s="63" t="s">
        <v>71</v>
      </c>
      <c r="D25" s="47" t="s">
        <v>72</v>
      </c>
    </row>
    <row r="26" spans="1:5" ht="21">
      <c r="A26" s="8"/>
      <c r="B26" s="146" t="s">
        <v>24</v>
      </c>
      <c r="C26" s="63" t="s">
        <v>71</v>
      </c>
      <c r="D26" s="47" t="s">
        <v>87</v>
      </c>
    </row>
    <row r="27" spans="1:5" ht="21">
      <c r="A27" s="8"/>
      <c r="B27" s="146" t="s">
        <v>25</v>
      </c>
      <c r="C27" s="63" t="s">
        <v>71</v>
      </c>
      <c r="D27" s="47" t="s">
        <v>73</v>
      </c>
    </row>
    <row r="28" spans="1:5" ht="21">
      <c r="A28" s="8"/>
      <c r="B28" s="146" t="s">
        <v>26</v>
      </c>
      <c r="C28" s="63" t="s">
        <v>71</v>
      </c>
      <c r="D28" s="47" t="s">
        <v>74</v>
      </c>
    </row>
    <row r="29" spans="1:5" ht="21">
      <c r="A29" s="8"/>
      <c r="B29" s="146" t="s">
        <v>27</v>
      </c>
      <c r="C29" s="63" t="s">
        <v>71</v>
      </c>
      <c r="D29" s="47" t="s">
        <v>75</v>
      </c>
    </row>
    <row r="30" spans="1:5" ht="21">
      <c r="A30" s="8"/>
      <c r="B30" s="146" t="s">
        <v>28</v>
      </c>
      <c r="C30" s="63" t="s">
        <v>71</v>
      </c>
      <c r="D30" s="47" t="s">
        <v>88</v>
      </c>
    </row>
    <row r="31" spans="1:5" ht="21">
      <c r="A31" s="8"/>
      <c r="B31" s="2"/>
      <c r="C31" s="63"/>
      <c r="D31" s="47" t="s">
        <v>89</v>
      </c>
    </row>
    <row r="32" spans="1:5" ht="21">
      <c r="A32" s="8"/>
      <c r="B32" s="2"/>
      <c r="C32" s="66"/>
      <c r="D32" s="47" t="s">
        <v>90</v>
      </c>
    </row>
    <row r="33" spans="1:7" ht="21">
      <c r="A33" s="8"/>
      <c r="B33" s="146" t="s">
        <v>29</v>
      </c>
      <c r="C33" s="63" t="s">
        <v>71</v>
      </c>
      <c r="D33" s="47" t="s">
        <v>76</v>
      </c>
    </row>
    <row r="34" spans="1:7" ht="21">
      <c r="A34" s="8"/>
      <c r="B34" s="146" t="s">
        <v>30</v>
      </c>
      <c r="C34" s="63" t="s">
        <v>71</v>
      </c>
      <c r="D34" s="47" t="s">
        <v>103</v>
      </c>
    </row>
    <row r="35" spans="1:7" ht="21">
      <c r="A35" s="36"/>
      <c r="B35" s="146" t="s">
        <v>33</v>
      </c>
      <c r="C35" s="63"/>
      <c r="D35" s="19"/>
    </row>
    <row r="36" spans="1:7" ht="21">
      <c r="A36" s="36"/>
      <c r="B36" s="48" t="s">
        <v>34</v>
      </c>
      <c r="C36" s="63"/>
      <c r="D36" s="19"/>
    </row>
    <row r="37" spans="1:7" ht="21">
      <c r="A37" s="8"/>
      <c r="B37" s="48" t="s">
        <v>35</v>
      </c>
      <c r="C37" s="66" t="s">
        <v>67</v>
      </c>
      <c r="D37" s="47" t="s">
        <v>91</v>
      </c>
      <c r="E37" s="59"/>
      <c r="F37" s="59"/>
      <c r="G37" s="144"/>
    </row>
    <row r="38" spans="1:7" ht="21">
      <c r="A38" s="8"/>
      <c r="B38" s="2"/>
      <c r="C38" s="63"/>
      <c r="D38" s="47" t="s">
        <v>92</v>
      </c>
    </row>
    <row r="39" spans="1:7" ht="21">
      <c r="A39" s="8"/>
      <c r="B39" s="48" t="s">
        <v>36</v>
      </c>
      <c r="C39" s="66" t="s">
        <v>67</v>
      </c>
      <c r="D39" s="47" t="s">
        <v>93</v>
      </c>
      <c r="E39" s="23"/>
      <c r="F39" s="23"/>
      <c r="G39" s="23"/>
    </row>
    <row r="40" spans="1:7" ht="21">
      <c r="A40" s="8"/>
      <c r="B40" s="47" t="s">
        <v>37</v>
      </c>
      <c r="C40" s="63" t="s">
        <v>64</v>
      </c>
      <c r="D40" s="47" t="s">
        <v>77</v>
      </c>
    </row>
    <row r="41" spans="1:7" ht="21">
      <c r="A41" s="8"/>
      <c r="B41" s="47" t="s">
        <v>38</v>
      </c>
      <c r="C41" s="63" t="s">
        <v>67</v>
      </c>
      <c r="D41" s="47" t="s">
        <v>78</v>
      </c>
    </row>
    <row r="42" spans="1:7" ht="21">
      <c r="A42" s="8"/>
      <c r="B42" s="47" t="s">
        <v>39</v>
      </c>
      <c r="C42" s="63" t="s">
        <v>67</v>
      </c>
      <c r="D42" s="47" t="s">
        <v>79</v>
      </c>
    </row>
    <row r="43" spans="1:7" ht="21">
      <c r="A43" s="8"/>
      <c r="B43" s="47" t="s">
        <v>40</v>
      </c>
      <c r="C43" s="63" t="s">
        <v>67</v>
      </c>
      <c r="D43" s="47" t="s">
        <v>80</v>
      </c>
    </row>
    <row r="44" spans="1:7" ht="21">
      <c r="A44" s="36"/>
      <c r="B44" s="46" t="s">
        <v>41</v>
      </c>
      <c r="C44" s="65"/>
      <c r="D44" s="84"/>
    </row>
    <row r="45" spans="1:7" ht="21">
      <c r="A45" s="8"/>
      <c r="B45" s="49" t="s">
        <v>42</v>
      </c>
      <c r="C45" s="69"/>
      <c r="D45" s="21"/>
    </row>
    <row r="46" spans="1:7" ht="21">
      <c r="A46" s="8" t="s">
        <v>43</v>
      </c>
      <c r="B46" s="50" t="s">
        <v>44</v>
      </c>
      <c r="C46" s="68"/>
      <c r="D46" s="22"/>
    </row>
    <row r="47" spans="1:7" ht="21">
      <c r="A47" s="8"/>
      <c r="B47" s="46" t="s">
        <v>46</v>
      </c>
      <c r="C47" s="63" t="s">
        <v>71</v>
      </c>
      <c r="D47" s="47" t="s">
        <v>94</v>
      </c>
    </row>
    <row r="48" spans="1:7" ht="21">
      <c r="A48" s="8"/>
      <c r="C48" s="63"/>
      <c r="D48" s="47" t="s">
        <v>95</v>
      </c>
    </row>
    <row r="49" spans="1:7" ht="21">
      <c r="A49" s="8"/>
      <c r="B49" s="46" t="s">
        <v>45</v>
      </c>
      <c r="C49" s="70" t="s">
        <v>71</v>
      </c>
      <c r="D49" s="47" t="s">
        <v>96</v>
      </c>
    </row>
    <row r="50" spans="1:7" ht="21">
      <c r="A50" s="8"/>
      <c r="B50" s="46"/>
      <c r="C50" s="63"/>
      <c r="D50" s="47" t="s">
        <v>97</v>
      </c>
    </row>
    <row r="51" spans="1:7" ht="21">
      <c r="A51" s="8"/>
      <c r="B51" s="46"/>
      <c r="C51" s="63"/>
      <c r="D51" s="47" t="s">
        <v>98</v>
      </c>
    </row>
    <row r="52" spans="1:7" ht="21">
      <c r="A52" s="8"/>
      <c r="B52" s="46"/>
      <c r="C52" s="63"/>
      <c r="D52" s="47" t="s">
        <v>99</v>
      </c>
    </row>
    <row r="53" spans="1:7" ht="21">
      <c r="A53" s="8"/>
      <c r="B53" s="46" t="s">
        <v>47</v>
      </c>
      <c r="C53" s="65" t="s">
        <v>71</v>
      </c>
      <c r="D53" s="47" t="s">
        <v>104</v>
      </c>
    </row>
    <row r="54" spans="1:7" ht="21">
      <c r="A54" s="8"/>
      <c r="B54" s="51" t="s">
        <v>48</v>
      </c>
      <c r="C54" s="69"/>
      <c r="D54" s="21"/>
    </row>
    <row r="55" spans="1:7" ht="21">
      <c r="A55" s="8" t="s">
        <v>49</v>
      </c>
      <c r="B55" s="51" t="s">
        <v>50</v>
      </c>
      <c r="C55" s="63"/>
      <c r="D55" s="85"/>
    </row>
    <row r="56" spans="1:7" ht="21">
      <c r="A56" s="8"/>
      <c r="B56" s="52" t="s">
        <v>51</v>
      </c>
      <c r="C56" s="71" t="s">
        <v>67</v>
      </c>
      <c r="D56" s="47" t="s">
        <v>100</v>
      </c>
      <c r="E56" s="29"/>
      <c r="F56" s="29"/>
      <c r="G56" s="29"/>
    </row>
    <row r="57" spans="1:7" ht="21">
      <c r="A57" s="8"/>
      <c r="B57" s="46"/>
      <c r="C57" s="63"/>
      <c r="D57" s="47" t="s">
        <v>101</v>
      </c>
    </row>
    <row r="58" spans="1:7" ht="21">
      <c r="A58" s="8"/>
      <c r="B58" s="46"/>
      <c r="C58" s="63"/>
      <c r="D58" s="47" t="s">
        <v>102</v>
      </c>
    </row>
    <row r="59" spans="1:7" ht="21">
      <c r="A59" s="8"/>
      <c r="B59" s="52" t="s">
        <v>52</v>
      </c>
      <c r="C59" s="68"/>
      <c r="D59" s="22"/>
    </row>
    <row r="60" spans="1:7" ht="21">
      <c r="A60" s="8"/>
      <c r="B60" s="52" t="s">
        <v>53</v>
      </c>
      <c r="C60" s="63" t="s">
        <v>67</v>
      </c>
      <c r="D60" s="47" t="s">
        <v>81</v>
      </c>
    </row>
    <row r="61" spans="1:7" ht="21">
      <c r="A61" s="8"/>
      <c r="B61" s="46" t="s">
        <v>54</v>
      </c>
      <c r="C61" s="63"/>
      <c r="D61" s="84"/>
    </row>
    <row r="62" spans="1:7" ht="21">
      <c r="A62" s="56"/>
      <c r="B62" s="49" t="s">
        <v>56</v>
      </c>
      <c r="C62" s="63"/>
      <c r="D62" s="21"/>
    </row>
    <row r="63" spans="1:7" ht="21">
      <c r="A63" s="56" t="s">
        <v>55</v>
      </c>
      <c r="B63" s="49" t="s">
        <v>66</v>
      </c>
      <c r="C63" s="63"/>
      <c r="D63" s="85"/>
    </row>
    <row r="64" spans="1:7" ht="21">
      <c r="A64" s="56"/>
      <c r="B64" s="46" t="s">
        <v>61</v>
      </c>
      <c r="C64" s="63"/>
      <c r="D64" s="22"/>
    </row>
    <row r="65" spans="1:5" ht="21">
      <c r="A65" s="56"/>
      <c r="B65" s="53" t="s">
        <v>13</v>
      </c>
      <c r="C65" s="63"/>
      <c r="D65" s="53" t="s">
        <v>82</v>
      </c>
    </row>
    <row r="66" spans="1:5" ht="21">
      <c r="A66" s="14"/>
      <c r="B66" s="78" t="s">
        <v>14</v>
      </c>
      <c r="C66" s="72"/>
      <c r="D66" s="78" t="s">
        <v>82</v>
      </c>
    </row>
    <row r="67" spans="1:5" ht="21">
      <c r="A67" s="3"/>
      <c r="B67" s="54"/>
      <c r="E67" s="17"/>
    </row>
    <row r="68" spans="1:5" ht="21"/>
    <row r="69" spans="1:5" ht="21">
      <c r="B69" s="55"/>
      <c r="C69" s="73"/>
      <c r="D69" s="86"/>
    </row>
    <row r="70" spans="1:5" ht="21">
      <c r="A70" s="194" t="s">
        <v>11</v>
      </c>
      <c r="B70" s="194"/>
      <c r="C70" s="194"/>
      <c r="D70" s="194"/>
    </row>
    <row r="75" spans="1:5" ht="21"/>
    <row r="117" spans="2:4" ht="21">
      <c r="B117" s="55"/>
      <c r="C117" s="73"/>
      <c r="D117" s="86"/>
    </row>
    <row r="156" spans="2:4" ht="21">
      <c r="B156" s="55"/>
      <c r="C156" s="73"/>
      <c r="D156" s="86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topLeftCell="E131" workbookViewId="0">
      <selection activeCell="I156" sqref="I156"/>
    </sheetView>
  </sheetViews>
  <sheetFormatPr defaultColWidth="36.625" defaultRowHeight="21.75" customHeight="1"/>
  <cols>
    <col min="1" max="1" width="5.75" style="58" customWidth="1"/>
    <col min="2" max="2" width="51.625" style="43" customWidth="1"/>
    <col min="3" max="3" width="7.5" style="62" customWidth="1"/>
    <col min="4" max="4" width="69.75" style="80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185" t="s">
        <v>3</v>
      </c>
      <c r="C4" s="185"/>
      <c r="D4" s="185"/>
    </row>
    <row r="5" spans="1:4" ht="21">
      <c r="B5" s="188" t="s">
        <v>58</v>
      </c>
      <c r="C5" s="188"/>
      <c r="D5" s="188"/>
    </row>
    <row r="6" spans="1:4" ht="21">
      <c r="A6" s="3"/>
      <c r="B6" s="189" t="s">
        <v>4</v>
      </c>
      <c r="C6" s="189"/>
      <c r="D6" s="189"/>
    </row>
    <row r="7" spans="1:4" s="4" customFormat="1" ht="21">
      <c r="A7" s="197" t="s">
        <v>5</v>
      </c>
      <c r="B7" s="44" t="s">
        <v>12</v>
      </c>
      <c r="C7" s="74"/>
      <c r="D7" s="81"/>
    </row>
    <row r="8" spans="1:4" s="4" customFormat="1" ht="21">
      <c r="A8" s="197"/>
      <c r="B8" s="44" t="s">
        <v>12</v>
      </c>
      <c r="C8" s="75" t="s">
        <v>62</v>
      </c>
      <c r="D8" s="82" t="s">
        <v>63</v>
      </c>
    </row>
    <row r="9" spans="1:4" s="7" customFormat="1" ht="21">
      <c r="A9" s="77" t="s">
        <v>8</v>
      </c>
      <c r="B9" s="45" t="s">
        <v>9</v>
      </c>
      <c r="C9" s="76"/>
      <c r="D9" s="18"/>
    </row>
    <row r="10" spans="1:4" ht="21">
      <c r="A10" s="56"/>
      <c r="B10" s="46" t="s">
        <v>15</v>
      </c>
      <c r="C10" s="63"/>
      <c r="D10" s="19" t="s">
        <v>57</v>
      </c>
    </row>
    <row r="11" spans="1:4" ht="21">
      <c r="A11" s="56"/>
      <c r="B11" s="47" t="s">
        <v>16</v>
      </c>
      <c r="C11" s="64"/>
      <c r="D11" s="20"/>
    </row>
    <row r="12" spans="1:4" ht="21">
      <c r="A12" s="56"/>
      <c r="B12" s="47" t="s">
        <v>17</v>
      </c>
      <c r="C12" s="63" t="s">
        <v>67</v>
      </c>
      <c r="D12" s="19" t="s">
        <v>68</v>
      </c>
    </row>
    <row r="13" spans="1:4" ht="21">
      <c r="A13" s="56"/>
      <c r="B13" s="47" t="s">
        <v>18</v>
      </c>
      <c r="C13" s="63" t="s">
        <v>67</v>
      </c>
      <c r="D13" s="19" t="s">
        <v>105</v>
      </c>
    </row>
    <row r="14" spans="1:4" ht="21">
      <c r="A14" s="56"/>
      <c r="B14" s="47"/>
      <c r="C14" s="63"/>
      <c r="D14" s="47" t="s">
        <v>83</v>
      </c>
    </row>
    <row r="15" spans="1:4" ht="21">
      <c r="A15" s="56"/>
      <c r="B15" s="47"/>
      <c r="C15" s="63"/>
      <c r="D15" s="47" t="s">
        <v>84</v>
      </c>
    </row>
    <row r="16" spans="1:4" ht="21">
      <c r="A16" s="56"/>
      <c r="B16" s="47"/>
      <c r="C16" s="63"/>
      <c r="D16" s="47" t="s">
        <v>85</v>
      </c>
    </row>
    <row r="17" spans="1:5" ht="21">
      <c r="A17" s="56"/>
      <c r="B17" s="47"/>
      <c r="C17" s="63"/>
      <c r="D17" s="47" t="s">
        <v>86</v>
      </c>
    </row>
    <row r="18" spans="1:5" ht="21">
      <c r="A18" s="8"/>
      <c r="B18" s="47" t="s">
        <v>19</v>
      </c>
      <c r="C18" s="63" t="s">
        <v>64</v>
      </c>
      <c r="D18" s="47" t="s">
        <v>69</v>
      </c>
      <c r="E18" s="17"/>
    </row>
    <row r="19" spans="1:5" ht="21">
      <c r="A19" s="8"/>
      <c r="B19" s="47" t="s">
        <v>20</v>
      </c>
      <c r="C19" s="63" t="s">
        <v>65</v>
      </c>
      <c r="D19" s="47" t="s">
        <v>70</v>
      </c>
    </row>
    <row r="20" spans="1:5" ht="21">
      <c r="A20" s="8"/>
      <c r="B20" s="47" t="s">
        <v>21</v>
      </c>
      <c r="C20" s="67"/>
      <c r="D20" s="47"/>
    </row>
    <row r="21" spans="1:5" ht="21">
      <c r="A21" s="8"/>
      <c r="B21" s="47" t="s">
        <v>22</v>
      </c>
      <c r="C21" s="79"/>
      <c r="D21" s="83"/>
    </row>
    <row r="22" spans="1:5" ht="21">
      <c r="A22" s="8"/>
      <c r="B22" s="198" t="s">
        <v>32</v>
      </c>
      <c r="C22" s="63"/>
      <c r="D22" s="19"/>
    </row>
    <row r="23" spans="1:5" ht="21">
      <c r="A23" s="8"/>
      <c r="B23" s="199"/>
      <c r="C23" s="65"/>
      <c r="D23" s="84"/>
    </row>
    <row r="24" spans="1:5" ht="21">
      <c r="A24" s="8"/>
      <c r="B24" s="48" t="s">
        <v>31</v>
      </c>
      <c r="C24" s="63"/>
      <c r="D24" s="19"/>
    </row>
    <row r="25" spans="1:5" ht="21">
      <c r="A25" s="8"/>
      <c r="B25" s="60" t="s">
        <v>23</v>
      </c>
      <c r="C25" s="63" t="s">
        <v>71</v>
      </c>
      <c r="D25" s="47" t="s">
        <v>72</v>
      </c>
    </row>
    <row r="26" spans="1:5" ht="21">
      <c r="A26" s="8"/>
      <c r="B26" s="60" t="s">
        <v>24</v>
      </c>
      <c r="C26" s="63" t="s">
        <v>71</v>
      </c>
      <c r="D26" s="47" t="s">
        <v>87</v>
      </c>
    </row>
    <row r="27" spans="1:5" ht="21">
      <c r="A27" s="8"/>
      <c r="B27" s="60" t="s">
        <v>25</v>
      </c>
      <c r="C27" s="63" t="s">
        <v>71</v>
      </c>
      <c r="D27" s="47" t="s">
        <v>73</v>
      </c>
    </row>
    <row r="28" spans="1:5" ht="21">
      <c r="A28" s="8"/>
      <c r="B28" s="60" t="s">
        <v>26</v>
      </c>
      <c r="C28" s="63" t="s">
        <v>71</v>
      </c>
      <c r="D28" s="47" t="s">
        <v>74</v>
      </c>
    </row>
    <row r="29" spans="1:5" ht="21">
      <c r="A29" s="8"/>
      <c r="B29" s="60" t="s">
        <v>27</v>
      </c>
      <c r="C29" s="63" t="s">
        <v>71</v>
      </c>
      <c r="D29" s="47" t="s">
        <v>75</v>
      </c>
    </row>
    <row r="30" spans="1:5" ht="21">
      <c r="A30" s="8"/>
      <c r="B30" s="60" t="s">
        <v>28</v>
      </c>
      <c r="C30" s="63" t="s">
        <v>71</v>
      </c>
      <c r="D30" s="47" t="s">
        <v>88</v>
      </c>
    </row>
    <row r="31" spans="1:5" ht="21">
      <c r="A31" s="8"/>
      <c r="B31" s="2"/>
      <c r="C31" s="63"/>
      <c r="D31" s="47" t="s">
        <v>89</v>
      </c>
    </row>
    <row r="32" spans="1:5" ht="21">
      <c r="A32" s="8"/>
      <c r="B32" s="2"/>
      <c r="C32" s="66"/>
      <c r="D32" s="47" t="s">
        <v>90</v>
      </c>
    </row>
    <row r="33" spans="1:7" ht="21">
      <c r="A33" s="8"/>
      <c r="B33" s="60" t="s">
        <v>29</v>
      </c>
      <c r="C33" s="63" t="s">
        <v>71</v>
      </c>
      <c r="D33" s="47" t="s">
        <v>76</v>
      </c>
    </row>
    <row r="34" spans="1:7" ht="21">
      <c r="A34" s="8"/>
      <c r="B34" s="60" t="s">
        <v>30</v>
      </c>
      <c r="C34" s="149" t="s">
        <v>71</v>
      </c>
      <c r="D34" s="150" t="s">
        <v>614</v>
      </c>
      <c r="E34" s="2" t="s">
        <v>543</v>
      </c>
    </row>
    <row r="35" spans="1:7" ht="21">
      <c r="A35" s="36"/>
      <c r="B35" s="60" t="s">
        <v>33</v>
      </c>
      <c r="C35" s="63"/>
      <c r="D35" s="19"/>
    </row>
    <row r="36" spans="1:7" ht="21">
      <c r="A36" s="36"/>
      <c r="B36" s="48" t="s">
        <v>34</v>
      </c>
      <c r="C36" s="63"/>
      <c r="D36" s="19"/>
    </row>
    <row r="37" spans="1:7" ht="21">
      <c r="A37" s="8"/>
      <c r="B37" s="48" t="s">
        <v>35</v>
      </c>
      <c r="C37" s="66" t="s">
        <v>67</v>
      </c>
      <c r="D37" s="47" t="s">
        <v>91</v>
      </c>
      <c r="E37" s="59"/>
      <c r="F37" s="59"/>
      <c r="G37" s="57"/>
    </row>
    <row r="38" spans="1:7" ht="21">
      <c r="A38" s="8"/>
      <c r="B38" s="2"/>
      <c r="C38" s="63"/>
      <c r="D38" s="47" t="s">
        <v>92</v>
      </c>
    </row>
    <row r="39" spans="1:7" ht="21">
      <c r="A39" s="8"/>
      <c r="B39" s="48" t="s">
        <v>36</v>
      </c>
      <c r="C39" s="66" t="s">
        <v>67</v>
      </c>
      <c r="D39" s="47" t="s">
        <v>93</v>
      </c>
      <c r="E39" s="23"/>
      <c r="F39" s="23"/>
      <c r="G39" s="23"/>
    </row>
    <row r="40" spans="1:7" ht="21">
      <c r="A40" s="8"/>
      <c r="B40" s="47" t="s">
        <v>37</v>
      </c>
      <c r="C40" s="63" t="s">
        <v>64</v>
      </c>
      <c r="D40" s="47" t="s">
        <v>77</v>
      </c>
    </row>
    <row r="41" spans="1:7" ht="21">
      <c r="A41" s="8"/>
      <c r="B41" s="47" t="s">
        <v>38</v>
      </c>
      <c r="C41" s="63" t="s">
        <v>67</v>
      </c>
      <c r="D41" s="47" t="s">
        <v>78</v>
      </c>
    </row>
    <row r="42" spans="1:7" ht="21">
      <c r="A42" s="8"/>
      <c r="B42" s="47" t="s">
        <v>39</v>
      </c>
      <c r="C42" s="63" t="s">
        <v>67</v>
      </c>
      <c r="D42" s="47" t="s">
        <v>79</v>
      </c>
    </row>
    <row r="43" spans="1:7" ht="21">
      <c r="A43" s="8"/>
      <c r="B43" s="47" t="s">
        <v>40</v>
      </c>
      <c r="C43" s="63" t="s">
        <v>67</v>
      </c>
      <c r="D43" s="47" t="s">
        <v>80</v>
      </c>
    </row>
    <row r="44" spans="1:7" ht="21">
      <c r="A44" s="36"/>
      <c r="B44" s="46" t="s">
        <v>41</v>
      </c>
      <c r="C44" s="65"/>
      <c r="D44" s="84"/>
    </row>
    <row r="45" spans="1:7" ht="21">
      <c r="A45" s="8"/>
      <c r="B45" s="49" t="s">
        <v>42</v>
      </c>
      <c r="C45" s="69"/>
      <c r="D45" s="21"/>
    </row>
    <row r="46" spans="1:7" ht="21">
      <c r="A46" s="8" t="s">
        <v>43</v>
      </c>
      <c r="B46" s="50" t="s">
        <v>44</v>
      </c>
      <c r="C46" s="68"/>
      <c r="D46" s="22"/>
    </row>
    <row r="47" spans="1:7" ht="21">
      <c r="A47" s="8"/>
      <c r="B47" s="46" t="s">
        <v>46</v>
      </c>
      <c r="C47" s="63" t="s">
        <v>71</v>
      </c>
      <c r="D47" s="47" t="s">
        <v>94</v>
      </c>
    </row>
    <row r="48" spans="1:7" ht="21">
      <c r="A48" s="8"/>
      <c r="C48" s="63"/>
      <c r="D48" s="47" t="s">
        <v>95</v>
      </c>
    </row>
    <row r="49" spans="1:7" ht="21">
      <c r="A49" s="8"/>
      <c r="B49" s="46" t="s">
        <v>45</v>
      </c>
      <c r="C49" s="70" t="s">
        <v>71</v>
      </c>
      <c r="D49" s="47" t="s">
        <v>96</v>
      </c>
    </row>
    <row r="50" spans="1:7" ht="21">
      <c r="A50" s="8"/>
      <c r="B50" s="46"/>
      <c r="C50" s="63"/>
      <c r="D50" s="47" t="s">
        <v>97</v>
      </c>
    </row>
    <row r="51" spans="1:7" ht="21">
      <c r="A51" s="8"/>
      <c r="B51" s="46"/>
      <c r="C51" s="63"/>
      <c r="D51" s="47" t="s">
        <v>98</v>
      </c>
    </row>
    <row r="52" spans="1:7" ht="21">
      <c r="A52" s="8"/>
      <c r="B52" s="46"/>
      <c r="C52" s="63"/>
      <c r="D52" s="47" t="s">
        <v>99</v>
      </c>
    </row>
    <row r="53" spans="1:7" ht="21">
      <c r="A53" s="8"/>
      <c r="B53" s="46" t="s">
        <v>47</v>
      </c>
      <c r="C53" s="65" t="s">
        <v>71</v>
      </c>
      <c r="D53" s="47" t="s">
        <v>104</v>
      </c>
    </row>
    <row r="54" spans="1:7" ht="21">
      <c r="A54" s="8"/>
      <c r="B54" s="51" t="s">
        <v>48</v>
      </c>
      <c r="C54" s="69"/>
      <c r="D54" s="21"/>
    </row>
    <row r="55" spans="1:7" ht="21">
      <c r="A55" s="8" t="s">
        <v>49</v>
      </c>
      <c r="B55" s="51" t="s">
        <v>50</v>
      </c>
      <c r="C55" s="63"/>
      <c r="D55" s="85"/>
    </row>
    <row r="56" spans="1:7" ht="21" customHeight="1">
      <c r="A56" s="8"/>
      <c r="B56" s="52" t="s">
        <v>51</v>
      </c>
      <c r="C56" s="71" t="s">
        <v>67</v>
      </c>
      <c r="D56" s="47" t="s">
        <v>100</v>
      </c>
      <c r="E56" s="29"/>
      <c r="F56" s="29"/>
      <c r="G56" s="29"/>
    </row>
    <row r="57" spans="1:7" ht="21">
      <c r="A57" s="8"/>
      <c r="B57" s="46"/>
      <c r="C57" s="63"/>
      <c r="D57" s="47" t="s">
        <v>101</v>
      </c>
    </row>
    <row r="58" spans="1:7" ht="21">
      <c r="A58" s="8"/>
      <c r="B58" s="46"/>
      <c r="C58" s="63"/>
      <c r="D58" s="47" t="s">
        <v>102</v>
      </c>
    </row>
    <row r="59" spans="1:7" ht="21">
      <c r="A59" s="8"/>
      <c r="B59" s="52" t="s">
        <v>52</v>
      </c>
      <c r="C59" s="68"/>
      <c r="D59" s="22"/>
    </row>
    <row r="60" spans="1:7" ht="21">
      <c r="A60" s="8"/>
      <c r="B60" s="52" t="s">
        <v>53</v>
      </c>
      <c r="C60" s="63" t="s">
        <v>67</v>
      </c>
      <c r="D60" s="47" t="s">
        <v>81</v>
      </c>
    </row>
    <row r="61" spans="1:7" ht="21">
      <c r="A61" s="8"/>
      <c r="B61" s="46" t="s">
        <v>54</v>
      </c>
      <c r="C61" s="63"/>
      <c r="D61" s="84"/>
    </row>
    <row r="62" spans="1:7" ht="21">
      <c r="A62" s="56"/>
      <c r="B62" s="49" t="s">
        <v>56</v>
      </c>
      <c r="C62" s="63"/>
      <c r="D62" s="21"/>
    </row>
    <row r="63" spans="1:7" ht="21">
      <c r="A63" s="56" t="s">
        <v>55</v>
      </c>
      <c r="B63" s="49" t="s">
        <v>66</v>
      </c>
      <c r="C63" s="63"/>
      <c r="D63" s="85"/>
    </row>
    <row r="64" spans="1:7" ht="21">
      <c r="A64" s="56"/>
      <c r="B64" s="46" t="s">
        <v>61</v>
      </c>
      <c r="C64" s="63"/>
      <c r="D64" s="22"/>
    </row>
    <row r="65" spans="1:5" ht="21">
      <c r="A65" s="56"/>
      <c r="B65" s="53" t="s">
        <v>13</v>
      </c>
      <c r="C65" s="63"/>
      <c r="D65" s="53" t="s">
        <v>82</v>
      </c>
    </row>
    <row r="66" spans="1:5" ht="21">
      <c r="A66" s="14"/>
      <c r="B66" s="78" t="s">
        <v>14</v>
      </c>
      <c r="C66" s="72"/>
      <c r="D66" s="78" t="s">
        <v>82</v>
      </c>
    </row>
    <row r="67" spans="1:5" ht="21">
      <c r="A67" s="3"/>
      <c r="B67" s="54"/>
      <c r="E67" s="17"/>
    </row>
    <row r="68" spans="1:5" ht="21"/>
    <row r="69" spans="1:5" ht="21">
      <c r="B69" s="55"/>
      <c r="C69" s="73"/>
      <c r="D69" s="86"/>
    </row>
    <row r="70" spans="1:5" ht="21">
      <c r="A70" s="194" t="s">
        <v>11</v>
      </c>
      <c r="B70" s="194"/>
      <c r="C70" s="194"/>
      <c r="D70" s="194"/>
    </row>
    <row r="75" spans="1:5" ht="21"/>
    <row r="117" spans="2:4" ht="21">
      <c r="B117" s="55"/>
      <c r="C117" s="73"/>
      <c r="D117" s="86"/>
    </row>
    <row r="156" spans="2:4" ht="21">
      <c r="B156" s="55"/>
      <c r="C156" s="73"/>
      <c r="D156" s="86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1"/>
  <sheetViews>
    <sheetView topLeftCell="C22" workbookViewId="0">
      <selection activeCell="D41" sqref="D41"/>
    </sheetView>
  </sheetViews>
  <sheetFormatPr defaultColWidth="36.625" defaultRowHeight="21"/>
  <cols>
    <col min="1" max="1" width="5.75" style="34" customWidth="1"/>
    <col min="2" max="2" width="71.375" style="2" customWidth="1"/>
    <col min="3" max="3" width="9.625" style="2" customWidth="1"/>
    <col min="4" max="4" width="15.875" style="25" customWidth="1"/>
    <col min="5" max="5" width="16.625" style="2" customWidth="1"/>
    <col min="6" max="6" width="0.875" style="2" customWidth="1"/>
    <col min="7" max="7" width="50.25" style="178" customWidth="1"/>
    <col min="8" max="8" width="17.625" style="2" customWidth="1"/>
    <col min="9" max="9" width="20" style="2" customWidth="1"/>
    <col min="10" max="10" width="20.25" style="2" customWidth="1"/>
    <col min="11" max="16384" width="36.625" style="2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 ht="23.25">
      <c r="B4" s="185" t="s">
        <v>3</v>
      </c>
      <c r="C4" s="185"/>
      <c r="D4" s="185"/>
      <c r="E4" s="185"/>
    </row>
    <row r="5" spans="1:7">
      <c r="B5" s="188" t="s">
        <v>615</v>
      </c>
      <c r="C5" s="188"/>
      <c r="D5" s="188"/>
      <c r="E5" s="188"/>
      <c r="G5" s="178" t="s">
        <v>617</v>
      </c>
    </row>
    <row r="6" spans="1:7">
      <c r="A6" s="3"/>
      <c r="B6" s="189" t="s">
        <v>4</v>
      </c>
      <c r="C6" s="189"/>
      <c r="D6" s="189"/>
      <c r="E6" s="189"/>
    </row>
    <row r="7" spans="1:7" s="4" customFormat="1">
      <c r="A7" s="196" t="s">
        <v>5</v>
      </c>
      <c r="B7" s="190" t="s">
        <v>12</v>
      </c>
      <c r="C7" s="190" t="s">
        <v>6</v>
      </c>
      <c r="D7" s="192" t="s">
        <v>7</v>
      </c>
      <c r="E7" s="192"/>
      <c r="G7" s="179"/>
    </row>
    <row r="8" spans="1:7" s="4" customFormat="1">
      <c r="A8" s="196"/>
      <c r="B8" s="191"/>
      <c r="C8" s="191"/>
      <c r="D8" s="38" t="s">
        <v>59</v>
      </c>
      <c r="E8" s="42" t="s">
        <v>60</v>
      </c>
      <c r="G8" s="179"/>
    </row>
    <row r="9" spans="1:7" s="7" customFormat="1">
      <c r="A9" s="5" t="s">
        <v>8</v>
      </c>
      <c r="B9" s="6" t="s">
        <v>9</v>
      </c>
      <c r="C9" s="6"/>
      <c r="D9" s="88"/>
      <c r="E9" s="88"/>
      <c r="G9" s="180"/>
    </row>
    <row r="10" spans="1:7">
      <c r="A10" s="8"/>
      <c r="B10" s="9" t="s">
        <v>15</v>
      </c>
      <c r="C10" s="9"/>
      <c r="D10" s="134">
        <f>SUM('TB 2012'!J86:J172)/1000</f>
        <v>3764215.5500899977</v>
      </c>
      <c r="E10" s="24">
        <v>0</v>
      </c>
      <c r="F10" s="2" t="s">
        <v>620</v>
      </c>
      <c r="G10" s="203"/>
    </row>
    <row r="11" spans="1:7">
      <c r="A11" s="8"/>
      <c r="B11" s="11" t="s">
        <v>16</v>
      </c>
      <c r="C11" s="10"/>
      <c r="D11" s="135">
        <f>+D12+D13+D14+D15+D16+D17</f>
        <v>418699.00905000017</v>
      </c>
      <c r="E11" s="26">
        <f>+E12+E13+E14+E15+E16+E17</f>
        <v>0</v>
      </c>
      <c r="G11" s="203"/>
    </row>
    <row r="12" spans="1:7">
      <c r="A12" s="8"/>
      <c r="B12" s="11" t="s">
        <v>17</v>
      </c>
      <c r="C12" s="11"/>
      <c r="D12" s="134">
        <f>SUM('TB 2012'!J50:J56)/1000</f>
        <v>418699.00905000017</v>
      </c>
      <c r="E12" s="24">
        <v>0</v>
      </c>
      <c r="G12" s="209">
        <v>1481</v>
      </c>
    </row>
    <row r="13" spans="1:7">
      <c r="A13" s="8"/>
      <c r="B13" s="11" t="s">
        <v>18</v>
      </c>
      <c r="C13" s="11"/>
      <c r="D13" s="134">
        <v>0</v>
      </c>
      <c r="E13" s="24">
        <v>0</v>
      </c>
      <c r="G13" s="203"/>
    </row>
    <row r="14" spans="1:7">
      <c r="A14" s="8"/>
      <c r="B14" s="11" t="s">
        <v>19</v>
      </c>
      <c r="C14" s="11"/>
      <c r="D14" s="136">
        <v>0</v>
      </c>
      <c r="E14" s="24">
        <v>0</v>
      </c>
      <c r="F14" s="17"/>
      <c r="G14" s="203"/>
    </row>
    <row r="15" spans="1:7">
      <c r="A15" s="8"/>
      <c r="B15" s="11" t="s">
        <v>20</v>
      </c>
      <c r="C15" s="31"/>
      <c r="D15" s="134">
        <v>0</v>
      </c>
      <c r="E15" s="24">
        <v>0</v>
      </c>
      <c r="G15" s="203"/>
    </row>
    <row r="16" spans="1:7">
      <c r="A16" s="8"/>
      <c r="B16" s="11" t="s">
        <v>21</v>
      </c>
      <c r="C16" s="31"/>
      <c r="D16" s="134">
        <v>0</v>
      </c>
      <c r="E16" s="24">
        <v>0</v>
      </c>
      <c r="G16" s="203"/>
    </row>
    <row r="17" spans="1:8">
      <c r="A17" s="8"/>
      <c r="B17" s="11" t="s">
        <v>22</v>
      </c>
      <c r="C17" s="31"/>
      <c r="D17" s="134">
        <v>0</v>
      </c>
      <c r="E17" s="24">
        <v>0</v>
      </c>
      <c r="G17" s="203"/>
    </row>
    <row r="18" spans="1:8" ht="18.75" customHeight="1">
      <c r="A18" s="8"/>
      <c r="B18" s="89" t="s">
        <v>32</v>
      </c>
      <c r="C18" s="90"/>
      <c r="D18" s="137">
        <f>+D10+D11</f>
        <v>4182914.5591399977</v>
      </c>
      <c r="E18" s="91">
        <f>+E10+E11</f>
        <v>0</v>
      </c>
      <c r="G18" s="203" t="s">
        <v>621</v>
      </c>
    </row>
    <row r="19" spans="1:8" ht="23.25" customHeight="1">
      <c r="A19" s="8"/>
      <c r="B19" s="16" t="s">
        <v>535</v>
      </c>
      <c r="C19" s="31"/>
      <c r="D19" s="157">
        <f>+D20+D21+D22+D23+D24+D25+D26+D27</f>
        <v>-21876576.816340044</v>
      </c>
      <c r="E19" s="24">
        <f>+E20+E21+E22+E23+E24+E25+E26+E27</f>
        <v>0</v>
      </c>
      <c r="G19" s="203"/>
    </row>
    <row r="20" spans="1:8">
      <c r="A20" s="8"/>
      <c r="B20" s="15" t="s">
        <v>23</v>
      </c>
      <c r="C20" s="31"/>
      <c r="D20" s="157">
        <f>-SUM('TB 2012'!I6:I25)/1000</f>
        <v>-20185460.41754004</v>
      </c>
      <c r="E20" s="24">
        <v>0</v>
      </c>
      <c r="G20" s="203" t="s">
        <v>619</v>
      </c>
    </row>
    <row r="21" spans="1:8">
      <c r="A21" s="8"/>
      <c r="B21" s="15" t="s">
        <v>24</v>
      </c>
      <c r="C21" s="31"/>
      <c r="D21" s="157">
        <f>-('TB 2012'!I33+'TB 2012'!I34)/1000</f>
        <v>-434990.20000999991</v>
      </c>
      <c r="E21" s="24">
        <v>0</v>
      </c>
      <c r="G21" s="203" t="s">
        <v>618</v>
      </c>
    </row>
    <row r="22" spans="1:8">
      <c r="A22" s="8"/>
      <c r="B22" s="15" t="s">
        <v>25</v>
      </c>
      <c r="C22" s="31"/>
      <c r="D22" s="157">
        <f>-'TB 2012'!I30/1000</f>
        <v>-54536.205999999998</v>
      </c>
      <c r="E22" s="24">
        <v>0</v>
      </c>
      <c r="G22" s="209">
        <v>1201181</v>
      </c>
    </row>
    <row r="23" spans="1:8">
      <c r="A23" s="8"/>
      <c r="B23" s="15" t="s">
        <v>26</v>
      </c>
      <c r="C23" s="31"/>
      <c r="D23" s="134">
        <v>0</v>
      </c>
      <c r="E23" s="24">
        <v>0</v>
      </c>
      <c r="G23" s="203" t="s">
        <v>74</v>
      </c>
    </row>
    <row r="24" spans="1:8">
      <c r="A24" s="8"/>
      <c r="B24" s="15" t="s">
        <v>27</v>
      </c>
      <c r="C24" s="31"/>
      <c r="D24" s="134">
        <f>-'TB 2012'!I31/1000</f>
        <v>23823.233</v>
      </c>
      <c r="E24" s="24">
        <v>0</v>
      </c>
      <c r="G24" s="204" t="s">
        <v>163</v>
      </c>
    </row>
    <row r="25" spans="1:8">
      <c r="A25" s="8"/>
      <c r="B25" s="15" t="s">
        <v>28</v>
      </c>
      <c r="C25" s="11"/>
      <c r="D25" s="159">
        <f>-('TB 2012'!I26+'TB 2012'!I32)/1000</f>
        <v>-1027703.1272700005</v>
      </c>
      <c r="E25" s="24">
        <v>0</v>
      </c>
      <c r="G25" s="205" t="s">
        <v>622</v>
      </c>
    </row>
    <row r="26" spans="1:8">
      <c r="A26" s="8"/>
      <c r="B26" s="15" t="s">
        <v>29</v>
      </c>
      <c r="C26" s="11"/>
      <c r="D26" s="134">
        <v>0</v>
      </c>
      <c r="E26" s="24">
        <v>0</v>
      </c>
      <c r="G26" s="205" t="s">
        <v>76</v>
      </c>
    </row>
    <row r="27" spans="1:8">
      <c r="A27" s="8"/>
      <c r="B27" s="15" t="s">
        <v>624</v>
      </c>
      <c r="C27" s="11"/>
      <c r="D27" s="157">
        <f>-SUM('TB 2012'!I35:I43)/1000-SUM('TB 2012'!I27:I29)/1000</f>
        <v>-197710.09852000006</v>
      </c>
      <c r="E27" s="24">
        <v>0</v>
      </c>
      <c r="G27" s="210" t="s">
        <v>623</v>
      </c>
    </row>
    <row r="28" spans="1:8">
      <c r="A28" s="36"/>
      <c r="B28" s="92" t="s">
        <v>33</v>
      </c>
      <c r="C28" s="10"/>
      <c r="D28" s="158">
        <f>+D19</f>
        <v>-21876576.816340044</v>
      </c>
      <c r="E28" s="26">
        <f>+E19</f>
        <v>0</v>
      </c>
      <c r="G28" s="205"/>
    </row>
    <row r="29" spans="1:8" ht="22.5" customHeight="1">
      <c r="A29" s="36"/>
      <c r="B29" s="16" t="s">
        <v>536</v>
      </c>
      <c r="C29" s="31"/>
      <c r="D29" s="134">
        <f>+D30+D31+D32+D33+D34+D35</f>
        <v>17872191.572249997</v>
      </c>
      <c r="E29" s="24">
        <f>+E30+E31+E32+E33+E34+E35</f>
        <v>0</v>
      </c>
      <c r="G29" s="205"/>
    </row>
    <row r="30" spans="1:8">
      <c r="A30" s="8"/>
      <c r="B30" s="16" t="s">
        <v>35</v>
      </c>
      <c r="C30" s="31"/>
      <c r="D30" s="134">
        <v>0</v>
      </c>
      <c r="E30" s="24">
        <v>0</v>
      </c>
      <c r="F30" s="35"/>
      <c r="G30" s="205"/>
      <c r="H30" s="33"/>
    </row>
    <row r="31" spans="1:8">
      <c r="A31" s="8"/>
      <c r="B31" s="16" t="s">
        <v>36</v>
      </c>
      <c r="C31" s="31"/>
      <c r="D31" s="134">
        <f>SUM('TB 2012'!J59:J62)/1000</f>
        <v>15911349.448999999</v>
      </c>
      <c r="E31" s="24">
        <v>0</v>
      </c>
      <c r="F31" s="23"/>
      <c r="G31" s="205" t="s">
        <v>625</v>
      </c>
      <c r="H31" s="23"/>
    </row>
    <row r="32" spans="1:8">
      <c r="A32" s="8"/>
      <c r="B32" s="11" t="s">
        <v>107</v>
      </c>
      <c r="C32" s="31"/>
      <c r="D32" s="134">
        <f>'TB 2012'!J57/1000</f>
        <v>53391.813999999998</v>
      </c>
      <c r="E32" s="24">
        <v>0</v>
      </c>
      <c r="G32" s="205" t="s">
        <v>228</v>
      </c>
    </row>
    <row r="33" spans="1:8">
      <c r="A33" s="8"/>
      <c r="B33" s="11" t="s">
        <v>108</v>
      </c>
      <c r="C33" s="11"/>
      <c r="D33" s="134">
        <f>'TB 2012'!J63/1000</f>
        <v>1455561.59402</v>
      </c>
      <c r="E33" s="24">
        <v>0</v>
      </c>
      <c r="G33" s="205" t="s">
        <v>231</v>
      </c>
    </row>
    <row r="34" spans="1:8">
      <c r="A34" s="8"/>
      <c r="B34" s="11" t="s">
        <v>109</v>
      </c>
      <c r="C34" s="11"/>
      <c r="D34" s="134">
        <f>SUM('TB 2012'!J64:J72)/1000</f>
        <v>134141.94236000042</v>
      </c>
      <c r="E34" s="24">
        <v>0</v>
      </c>
      <c r="G34" s="210" t="s">
        <v>626</v>
      </c>
    </row>
    <row r="35" spans="1:8">
      <c r="A35" s="8"/>
      <c r="B35" s="11" t="s">
        <v>110</v>
      </c>
      <c r="C35" s="11"/>
      <c r="D35" s="134">
        <f>SUM('TB 2012'!J73:J75)/1000</f>
        <v>317746.77287000063</v>
      </c>
      <c r="E35" s="24">
        <v>0</v>
      </c>
      <c r="G35" s="205" t="s">
        <v>627</v>
      </c>
    </row>
    <row r="36" spans="1:8">
      <c r="A36" s="36"/>
      <c r="B36" s="94" t="s">
        <v>41</v>
      </c>
      <c r="C36" s="12"/>
      <c r="D36" s="139">
        <f>+D29</f>
        <v>17872191.572249997</v>
      </c>
      <c r="E36" s="93">
        <f>+E29</f>
        <v>0</v>
      </c>
      <c r="F36" s="2" t="s">
        <v>542</v>
      </c>
      <c r="G36" s="205"/>
    </row>
    <row r="37" spans="1:8">
      <c r="A37" s="8"/>
      <c r="B37" s="96" t="s">
        <v>42</v>
      </c>
      <c r="C37" s="9"/>
      <c r="D37" s="140">
        <f>+D18+D28+D36</f>
        <v>178529.31504995003</v>
      </c>
      <c r="E37" s="27">
        <f>+E18+E28+E36</f>
        <v>0</v>
      </c>
      <c r="G37" s="205"/>
    </row>
    <row r="38" spans="1:8">
      <c r="A38" s="8" t="s">
        <v>43</v>
      </c>
      <c r="B38" s="95" t="s">
        <v>44</v>
      </c>
      <c r="C38" s="9"/>
      <c r="D38" s="141"/>
      <c r="E38" s="13"/>
      <c r="G38" s="205"/>
    </row>
    <row r="39" spans="1:8">
      <c r="A39" s="8"/>
      <c r="B39" s="9" t="s">
        <v>538</v>
      </c>
      <c r="C39" s="12"/>
      <c r="D39" s="134">
        <v>0</v>
      </c>
      <c r="E39" s="24">
        <v>0</v>
      </c>
      <c r="G39" s="205"/>
    </row>
    <row r="40" spans="1:8">
      <c r="A40" s="8"/>
      <c r="B40" s="9" t="s">
        <v>539</v>
      </c>
      <c r="C40" s="40"/>
      <c r="D40" s="142">
        <v>0</v>
      </c>
      <c r="E40" s="41">
        <v>0</v>
      </c>
      <c r="G40" s="205"/>
    </row>
    <row r="41" spans="1:8">
      <c r="A41" s="8"/>
      <c r="B41" s="97" t="s">
        <v>537</v>
      </c>
      <c r="C41" s="39"/>
      <c r="D41" s="155">
        <f>-SUM('TB 2012'!I44:I49)/1000</f>
        <v>-184061.315</v>
      </c>
      <c r="E41" s="30">
        <v>0</v>
      </c>
      <c r="G41" s="211" t="s">
        <v>628</v>
      </c>
    </row>
    <row r="42" spans="1:8">
      <c r="A42" s="8"/>
      <c r="B42" s="96" t="s">
        <v>48</v>
      </c>
      <c r="C42" s="40"/>
      <c r="D42" s="156">
        <f>+SUM(D39:D41)</f>
        <v>-184061.315</v>
      </c>
      <c r="E42" s="27">
        <f>+SUM(E39:E41)</f>
        <v>0</v>
      </c>
      <c r="G42" s="212"/>
    </row>
    <row r="43" spans="1:8">
      <c r="A43" s="8" t="s">
        <v>49</v>
      </c>
      <c r="B43" s="98" t="s">
        <v>50</v>
      </c>
      <c r="C43" s="37"/>
      <c r="D43" s="143"/>
      <c r="E43" s="24"/>
      <c r="G43" s="212"/>
    </row>
    <row r="44" spans="1:8">
      <c r="A44" s="8"/>
      <c r="B44" s="39" t="s">
        <v>540</v>
      </c>
      <c r="C44" s="37"/>
      <c r="D44" s="143">
        <v>0</v>
      </c>
      <c r="E44" s="24">
        <v>0</v>
      </c>
      <c r="F44" s="29"/>
      <c r="G44" s="212"/>
      <c r="H44" s="29"/>
    </row>
    <row r="45" spans="1:8">
      <c r="A45" s="8"/>
      <c r="B45" s="39" t="s">
        <v>541</v>
      </c>
      <c r="C45" s="37"/>
      <c r="D45" s="143">
        <v>0</v>
      </c>
      <c r="E45" s="24">
        <v>0</v>
      </c>
      <c r="G45" s="212"/>
    </row>
    <row r="46" spans="1:8">
      <c r="A46" s="8"/>
      <c r="B46" s="39" t="s">
        <v>53</v>
      </c>
      <c r="C46" s="39"/>
      <c r="D46" s="143">
        <v>0</v>
      </c>
      <c r="E46" s="24">
        <v>0</v>
      </c>
      <c r="G46" s="212"/>
    </row>
    <row r="47" spans="1:8">
      <c r="A47" s="56"/>
      <c r="B47" s="99" t="s">
        <v>54</v>
      </c>
      <c r="C47" s="37"/>
      <c r="D47" s="143">
        <v>0</v>
      </c>
      <c r="E47" s="61">
        <v>0</v>
      </c>
      <c r="G47" s="203"/>
    </row>
    <row r="48" spans="1:8" s="87" customFormat="1">
      <c r="A48" s="56"/>
      <c r="B48" s="96" t="s">
        <v>56</v>
      </c>
      <c r="C48" s="32"/>
      <c r="D48" s="140">
        <f>+SUM(D44:D47)</f>
        <v>0</v>
      </c>
      <c r="E48" s="27">
        <f>+SUM(E44:E47)</f>
        <v>0</v>
      </c>
      <c r="G48" s="206"/>
    </row>
    <row r="49" spans="1:7" s="87" customFormat="1">
      <c r="A49" s="56" t="s">
        <v>55</v>
      </c>
      <c r="B49" s="98" t="s">
        <v>66</v>
      </c>
      <c r="C49" s="32"/>
      <c r="D49" s="138"/>
      <c r="E49" s="26"/>
      <c r="G49" s="206"/>
    </row>
    <row r="50" spans="1:7">
      <c r="A50" s="56"/>
      <c r="B50" s="39" t="s">
        <v>61</v>
      </c>
      <c r="C50" s="37"/>
      <c r="D50" s="154">
        <f>+D37+D42+D48</f>
        <v>-5531.9999500499689</v>
      </c>
      <c r="E50" s="24">
        <f>+E37+E42+E48</f>
        <v>0</v>
      </c>
      <c r="F50" s="162">
        <f>+'TB 2012'!L21/10000</f>
        <v>-4482007.1582459975</v>
      </c>
      <c r="G50" s="207">
        <f>+'TB 2012'!I5/1000</f>
        <v>-5532</v>
      </c>
    </row>
    <row r="51" spans="1:7">
      <c r="A51" s="8"/>
      <c r="B51" s="39" t="s">
        <v>13</v>
      </c>
      <c r="C51" s="37"/>
      <c r="D51" s="143">
        <f>'TB 2012'!C5/1000</f>
        <v>10000</v>
      </c>
      <c r="E51" s="24">
        <v>0</v>
      </c>
      <c r="F51" s="148">
        <f>+F59/10000</f>
        <v>11663936.889474003</v>
      </c>
      <c r="G51" s="208">
        <f>+G50-D50</f>
        <v>-4.9950031097978354E-5</v>
      </c>
    </row>
    <row r="52" spans="1:7">
      <c r="A52" s="14"/>
      <c r="B52" s="100" t="s">
        <v>14</v>
      </c>
      <c r="C52" s="101"/>
      <c r="D52" s="160">
        <f>+SUM(D50:D51)</f>
        <v>4468.0000499500311</v>
      </c>
      <c r="E52" s="102">
        <f>+SUM(E50:E51)</f>
        <v>0</v>
      </c>
      <c r="F52" s="176">
        <f>+SUM(F50:F51)</f>
        <v>7181929.7312280051</v>
      </c>
      <c r="G52" s="208"/>
    </row>
    <row r="54" spans="1:7">
      <c r="B54" s="34"/>
      <c r="C54" s="34"/>
      <c r="D54" s="2" t="s">
        <v>10</v>
      </c>
    </row>
    <row r="55" spans="1:7">
      <c r="A55" s="194" t="s">
        <v>106</v>
      </c>
      <c r="B55" s="194"/>
      <c r="C55" s="194"/>
      <c r="D55" s="194"/>
      <c r="E55" s="194"/>
    </row>
    <row r="56" spans="1:7">
      <c r="E56" s="2" t="s">
        <v>548</v>
      </c>
    </row>
    <row r="57" spans="1:7">
      <c r="E57" s="2" t="s">
        <v>547</v>
      </c>
    </row>
    <row r="59" spans="1:7">
      <c r="F59" s="161">
        <f>+'TB 2012'!L18</f>
        <v>116639368894.74002</v>
      </c>
      <c r="G59" s="178" t="str">
        <f>+'TB 2012'!M18</f>
        <v>Cash for 2011</v>
      </c>
    </row>
    <row r="60" spans="1:7">
      <c r="B60" s="148">
        <f>+SUM('TB 2012'!C5:C20)</f>
        <v>116639368894.74002</v>
      </c>
      <c r="C60" s="2">
        <v>2011</v>
      </c>
      <c r="F60" s="175">
        <f>+'TB 2012'!L19</f>
        <v>71819297312.280045</v>
      </c>
      <c r="G60" s="181" t="str">
        <f>+'TB 2012'!M19</f>
        <v>Cash for 2012</v>
      </c>
    </row>
    <row r="61" spans="1:7">
      <c r="B61" s="2">
        <f>+SUM('TB 2012'!G6)</f>
        <v>2281603544.3500099</v>
      </c>
      <c r="C61" s="2">
        <v>2012</v>
      </c>
      <c r="F61" s="161">
        <f>+F60-F59</f>
        <v>-44820071582.459976</v>
      </c>
      <c r="G61" s="178" t="s">
        <v>546</v>
      </c>
    </row>
    <row r="62" spans="1:7">
      <c r="C62" s="2">
        <v>2013</v>
      </c>
      <c r="F62" s="161"/>
    </row>
    <row r="102" spans="2:4">
      <c r="B102" s="34"/>
      <c r="C102" s="34"/>
      <c r="D102" s="28"/>
    </row>
    <row r="141" spans="2:4">
      <c r="B141" s="34"/>
      <c r="C141" s="34"/>
      <c r="D141" s="28"/>
    </row>
  </sheetData>
  <mergeCells count="8">
    <mergeCell ref="A55:E55"/>
    <mergeCell ref="B4:E4"/>
    <mergeCell ref="B5:E5"/>
    <mergeCell ref="B6:E6"/>
    <mergeCell ref="A7:A8"/>
    <mergeCell ref="C7:C8"/>
    <mergeCell ref="D7:E7"/>
    <mergeCell ref="B7:B8"/>
  </mergeCells>
  <pageMargins left="0.23622047244094491" right="0.15748031496062992" top="0.51181102362204722" bottom="0.39370078740157483" header="0.31496062992125984" footer="0.31496062992125984"/>
  <pageSetup scale="73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83"/>
  <sheetViews>
    <sheetView tabSelected="1" topLeftCell="C1" workbookViewId="0">
      <selection activeCell="I44" sqref="I44"/>
    </sheetView>
  </sheetViews>
  <sheetFormatPr defaultRowHeight="15.75"/>
  <cols>
    <col min="1" max="1" width="8.625" style="104" customWidth="1"/>
    <col min="2" max="2" width="34.25" style="104" customWidth="1"/>
    <col min="3" max="8" width="15.25" style="116" customWidth="1"/>
    <col min="9" max="9" width="14.5" style="118" customWidth="1"/>
    <col min="10" max="10" width="14.25" style="118" customWidth="1"/>
    <col min="11" max="11" width="9" style="104"/>
    <col min="12" max="12" width="15.75" style="104" bestFit="1" customWidth="1"/>
    <col min="13" max="13" width="13.875" style="104" customWidth="1"/>
    <col min="14" max="16384" width="9" style="104"/>
  </cols>
  <sheetData>
    <row r="1" spans="1:13">
      <c r="A1" s="103" t="s">
        <v>111</v>
      </c>
      <c r="B1" s="103" t="s">
        <v>112</v>
      </c>
      <c r="F1" s="177">
        <v>2012</v>
      </c>
    </row>
    <row r="2" spans="1:13">
      <c r="A2" s="103" t="s">
        <v>113</v>
      </c>
    </row>
    <row r="3" spans="1:13">
      <c r="C3" s="200" t="s">
        <v>531</v>
      </c>
      <c r="D3" s="201"/>
      <c r="E3" s="200" t="s">
        <v>532</v>
      </c>
      <c r="F3" s="201"/>
      <c r="G3" s="200" t="s">
        <v>533</v>
      </c>
      <c r="H3" s="201"/>
      <c r="I3" s="202" t="s">
        <v>534</v>
      </c>
      <c r="J3" s="202"/>
    </row>
    <row r="4" spans="1:13">
      <c r="A4" s="103"/>
      <c r="B4" s="103"/>
      <c r="C4" s="120" t="s">
        <v>273</v>
      </c>
      <c r="D4" s="120" t="s">
        <v>274</v>
      </c>
      <c r="E4" s="120" t="s">
        <v>273</v>
      </c>
      <c r="F4" s="120" t="s">
        <v>274</v>
      </c>
      <c r="G4" s="120" t="s">
        <v>273</v>
      </c>
      <c r="H4" s="120" t="s">
        <v>274</v>
      </c>
      <c r="I4" s="121" t="s">
        <v>273</v>
      </c>
      <c r="J4" s="121" t="s">
        <v>274</v>
      </c>
    </row>
    <row r="5" spans="1:13">
      <c r="A5" s="103" t="s">
        <v>119</v>
      </c>
      <c r="B5" s="103" t="s">
        <v>120</v>
      </c>
      <c r="C5" s="152">
        <v>10000000</v>
      </c>
      <c r="D5" s="122">
        <v>0</v>
      </c>
      <c r="E5" s="122">
        <v>146936508.84999999</v>
      </c>
      <c r="F5" s="122">
        <v>152468508.84999999</v>
      </c>
      <c r="G5" s="152">
        <v>4468000</v>
      </c>
      <c r="H5" s="122">
        <v>0</v>
      </c>
      <c r="I5" s="123">
        <f>G5-C5</f>
        <v>-5532000</v>
      </c>
      <c r="J5" s="123"/>
      <c r="L5" s="151">
        <f>+E5-F5</f>
        <v>-5532000</v>
      </c>
    </row>
    <row r="6" spans="1:13">
      <c r="A6" s="103" t="s">
        <v>142</v>
      </c>
      <c r="B6" s="103" t="s">
        <v>143</v>
      </c>
      <c r="C6" s="153">
        <v>72281613544.350006</v>
      </c>
      <c r="D6" s="124">
        <v>0</v>
      </c>
      <c r="E6" s="124">
        <v>0</v>
      </c>
      <c r="F6" s="124">
        <v>70000010000</v>
      </c>
      <c r="G6" s="153">
        <v>2281603544.3500099</v>
      </c>
      <c r="H6" s="124">
        <v>0</v>
      </c>
      <c r="I6" s="125">
        <f>G6-C6</f>
        <v>-70000010000</v>
      </c>
      <c r="J6" s="125"/>
      <c r="L6" s="151">
        <f t="shared" ref="L6:L11" si="0">+E6-F6</f>
        <v>-70000010000</v>
      </c>
    </row>
    <row r="7" spans="1:13">
      <c r="A7" s="103" t="s">
        <v>128</v>
      </c>
      <c r="B7" s="103" t="s">
        <v>129</v>
      </c>
      <c r="C7" s="153">
        <v>652607.74</v>
      </c>
      <c r="D7" s="124">
        <v>0</v>
      </c>
      <c r="E7" s="124">
        <v>268297112.5</v>
      </c>
      <c r="F7" s="124">
        <v>268812113</v>
      </c>
      <c r="G7" s="153">
        <v>137607.24</v>
      </c>
      <c r="H7" s="124">
        <v>0</v>
      </c>
      <c r="I7" s="125">
        <f>G7-C7</f>
        <v>-515000.5</v>
      </c>
      <c r="J7" s="125"/>
      <c r="L7" s="151">
        <f t="shared" si="0"/>
        <v>-515000.5</v>
      </c>
    </row>
    <row r="8" spans="1:13">
      <c r="A8" s="103" t="s">
        <v>136</v>
      </c>
      <c r="B8" s="103" t="s">
        <v>137</v>
      </c>
      <c r="C8" s="153">
        <v>713249.55</v>
      </c>
      <c r="D8" s="124">
        <v>0</v>
      </c>
      <c r="E8" s="124">
        <v>1196931.49</v>
      </c>
      <c r="F8" s="124">
        <v>121655.66000000002</v>
      </c>
      <c r="G8" s="153">
        <v>1788525.38</v>
      </c>
      <c r="H8" s="124">
        <v>0</v>
      </c>
      <c r="I8" s="125">
        <f t="shared" ref="I6:I19" si="1">G8-C8</f>
        <v>1075275.8299999998</v>
      </c>
      <c r="J8" s="125"/>
      <c r="L8" s="151">
        <f t="shared" si="0"/>
        <v>1075275.83</v>
      </c>
    </row>
    <row r="9" spans="1:13">
      <c r="A9" s="103" t="s">
        <v>144</v>
      </c>
      <c r="B9" s="103" t="s">
        <v>145</v>
      </c>
      <c r="C9" s="153">
        <v>1641620.4</v>
      </c>
      <c r="D9" s="124">
        <v>0</v>
      </c>
      <c r="E9" s="124">
        <v>69481100.900000006</v>
      </c>
      <c r="F9" s="124">
        <v>69528404.180000007</v>
      </c>
      <c r="G9" s="153">
        <v>1594317.12</v>
      </c>
      <c r="H9" s="124">
        <v>0</v>
      </c>
      <c r="I9" s="125">
        <f t="shared" si="1"/>
        <v>-47303.279999999795</v>
      </c>
      <c r="J9" s="125"/>
      <c r="L9" s="151">
        <f t="shared" si="0"/>
        <v>-47303.280000001192</v>
      </c>
    </row>
    <row r="10" spans="1:13">
      <c r="A10" s="103" t="s">
        <v>132</v>
      </c>
      <c r="B10" s="103" t="s">
        <v>133</v>
      </c>
      <c r="C10" s="153">
        <v>92595445</v>
      </c>
      <c r="D10" s="124">
        <v>0</v>
      </c>
      <c r="E10" s="124">
        <v>154946789255</v>
      </c>
      <c r="F10" s="124">
        <v>154744754910</v>
      </c>
      <c r="G10" s="153">
        <v>294629790</v>
      </c>
      <c r="H10" s="124">
        <v>0</v>
      </c>
      <c r="I10" s="125">
        <f>G10-C10</f>
        <v>202034345</v>
      </c>
      <c r="J10" s="125"/>
      <c r="L10" s="151">
        <f t="shared" si="0"/>
        <v>202034345</v>
      </c>
    </row>
    <row r="11" spans="1:13">
      <c r="A11" s="103" t="s">
        <v>122</v>
      </c>
      <c r="B11" s="103" t="s">
        <v>123</v>
      </c>
      <c r="C11" s="153">
        <v>39741098167</v>
      </c>
      <c r="D11" s="124">
        <v>0</v>
      </c>
      <c r="E11" s="124">
        <v>669329114813</v>
      </c>
      <c r="F11" s="124">
        <v>653419265157</v>
      </c>
      <c r="G11" s="153">
        <v>55650947823</v>
      </c>
      <c r="H11" s="124">
        <v>0</v>
      </c>
      <c r="I11" s="125">
        <f>G11-C11</f>
        <v>15909849656</v>
      </c>
      <c r="J11" s="125"/>
      <c r="L11" s="151">
        <f>+E11-F11</f>
        <v>15909849656</v>
      </c>
    </row>
    <row r="12" spans="1:13">
      <c r="A12" s="103" t="s">
        <v>124</v>
      </c>
      <c r="B12" s="103" t="s">
        <v>125</v>
      </c>
      <c r="C12" s="153">
        <v>100000</v>
      </c>
      <c r="D12" s="124">
        <v>0</v>
      </c>
      <c r="E12" s="124">
        <v>0</v>
      </c>
      <c r="F12" s="124">
        <v>0</v>
      </c>
      <c r="G12" s="153">
        <v>100000</v>
      </c>
      <c r="H12" s="124">
        <v>0</v>
      </c>
      <c r="I12" s="125">
        <f t="shared" si="1"/>
        <v>0</v>
      </c>
      <c r="J12" s="125"/>
    </row>
    <row r="13" spans="1:13">
      <c r="A13" s="103" t="s">
        <v>275</v>
      </c>
      <c r="B13" s="103" t="s">
        <v>276</v>
      </c>
      <c r="C13" s="153">
        <v>0</v>
      </c>
      <c r="D13" s="124">
        <v>0</v>
      </c>
      <c r="E13" s="124">
        <v>405151388000</v>
      </c>
      <c r="F13" s="124">
        <v>405151388000</v>
      </c>
      <c r="G13" s="153">
        <v>0</v>
      </c>
      <c r="H13" s="124">
        <v>0</v>
      </c>
      <c r="I13" s="125">
        <f t="shared" si="1"/>
        <v>0</v>
      </c>
      <c r="J13" s="125"/>
    </row>
    <row r="14" spans="1:13">
      <c r="A14" s="103" t="s">
        <v>277</v>
      </c>
      <c r="B14" s="103" t="s">
        <v>278</v>
      </c>
      <c r="C14" s="153">
        <v>0</v>
      </c>
      <c r="D14" s="124">
        <v>0</v>
      </c>
      <c r="E14" s="124">
        <v>17653324232.380001</v>
      </c>
      <c r="F14" s="124">
        <v>17653324232.380001</v>
      </c>
      <c r="G14" s="153">
        <v>0</v>
      </c>
      <c r="H14" s="124">
        <v>0</v>
      </c>
      <c r="I14" s="125">
        <f t="shared" si="1"/>
        <v>0</v>
      </c>
      <c r="J14" s="125"/>
    </row>
    <row r="15" spans="1:13">
      <c r="A15" s="103" t="s">
        <v>279</v>
      </c>
      <c r="B15" s="103" t="s">
        <v>280</v>
      </c>
      <c r="C15" s="153">
        <v>0</v>
      </c>
      <c r="D15" s="124">
        <v>0</v>
      </c>
      <c r="E15" s="124">
        <v>170852705250.23001</v>
      </c>
      <c r="F15" s="124">
        <v>170852705250.23001</v>
      </c>
      <c r="G15" s="153">
        <v>0</v>
      </c>
      <c r="H15" s="124">
        <v>0</v>
      </c>
      <c r="I15" s="125">
        <f t="shared" si="1"/>
        <v>0</v>
      </c>
      <c r="J15" s="125"/>
      <c r="L15" s="151">
        <f>+SUM(I5:I20)</f>
        <v>-44820071582.459961</v>
      </c>
      <c r="M15" s="104" t="s">
        <v>616</v>
      </c>
    </row>
    <row r="16" spans="1:13">
      <c r="A16" s="103" t="s">
        <v>146</v>
      </c>
      <c r="B16" s="103" t="s">
        <v>147</v>
      </c>
      <c r="C16" s="153">
        <v>0</v>
      </c>
      <c r="D16" s="124">
        <v>0</v>
      </c>
      <c r="E16" s="124">
        <v>1000000</v>
      </c>
      <c r="F16" s="124">
        <v>0</v>
      </c>
      <c r="G16" s="153">
        <v>1000000</v>
      </c>
      <c r="H16" s="124">
        <v>0</v>
      </c>
      <c r="I16" s="125">
        <f>G16-C16</f>
        <v>1000000</v>
      </c>
      <c r="J16" s="125"/>
      <c r="L16" s="151">
        <f>+L15-L21</f>
        <v>0</v>
      </c>
    </row>
    <row r="17" spans="1:13">
      <c r="A17" s="103" t="s">
        <v>150</v>
      </c>
      <c r="B17" s="103" t="s">
        <v>151</v>
      </c>
      <c r="C17" s="153">
        <v>2261801434.46</v>
      </c>
      <c r="D17" s="124">
        <v>0</v>
      </c>
      <c r="E17" s="124">
        <v>117985550845.28</v>
      </c>
      <c r="F17" s="124">
        <v>110998002749.51997</v>
      </c>
      <c r="G17" s="153">
        <v>9249349530.2200203</v>
      </c>
      <c r="H17" s="124">
        <v>0</v>
      </c>
      <c r="I17" s="125">
        <f t="shared" si="1"/>
        <v>6987548095.7600203</v>
      </c>
      <c r="J17" s="125"/>
    </row>
    <row r="18" spans="1:13">
      <c r="A18" s="103" t="s">
        <v>140</v>
      </c>
      <c r="B18" s="103" t="s">
        <v>141</v>
      </c>
      <c r="C18" s="153">
        <v>890273394.24000001</v>
      </c>
      <c r="D18" s="124">
        <v>0</v>
      </c>
      <c r="E18" s="124">
        <v>35927275677.170006</v>
      </c>
      <c r="F18" s="124">
        <v>36787536404.209999</v>
      </c>
      <c r="G18" s="153">
        <v>30012667.200004883</v>
      </c>
      <c r="H18" s="124">
        <v>0</v>
      </c>
      <c r="I18" s="125">
        <f t="shared" si="1"/>
        <v>-860260727.03999507</v>
      </c>
      <c r="J18" s="125"/>
      <c r="L18" s="163">
        <f>+SUM(C5:C20)</f>
        <v>116639368894.74002</v>
      </c>
      <c r="M18" s="164" t="s">
        <v>544</v>
      </c>
    </row>
    <row r="19" spans="1:13">
      <c r="A19" s="103" t="s">
        <v>138</v>
      </c>
      <c r="B19" s="103" t="s">
        <v>139</v>
      </c>
      <c r="C19" s="153">
        <v>1358879432</v>
      </c>
      <c r="D19" s="124">
        <v>0</v>
      </c>
      <c r="E19" s="124">
        <v>2110287566</v>
      </c>
      <c r="F19" s="124">
        <v>0</v>
      </c>
      <c r="G19" s="153">
        <v>3469166998</v>
      </c>
      <c r="H19" s="124">
        <v>0</v>
      </c>
      <c r="I19" s="125">
        <f t="shared" si="1"/>
        <v>2110287566</v>
      </c>
      <c r="J19" s="125"/>
      <c r="L19" s="163">
        <f>+SUM(G5:G20)</f>
        <v>71819297312.280045</v>
      </c>
      <c r="M19" s="164" t="s">
        <v>545</v>
      </c>
    </row>
    <row r="20" spans="1:13">
      <c r="A20" s="103" t="s">
        <v>152</v>
      </c>
      <c r="B20" s="103" t="s">
        <v>153</v>
      </c>
      <c r="C20" s="153">
        <v>0</v>
      </c>
      <c r="D20" s="124">
        <v>0</v>
      </c>
      <c r="E20" s="124">
        <v>35834498509.770012</v>
      </c>
      <c r="F20" s="124">
        <v>35000000000</v>
      </c>
      <c r="G20" s="153">
        <v>834498509.77000976</v>
      </c>
      <c r="H20" s="124">
        <v>0</v>
      </c>
      <c r="I20" s="125">
        <f t="shared" ref="I20" si="2">G20-C20</f>
        <v>834498509.77000976</v>
      </c>
      <c r="J20" s="125"/>
    </row>
    <row r="21" spans="1:13">
      <c r="A21" s="103" t="s">
        <v>148</v>
      </c>
      <c r="B21" s="103" t="s">
        <v>149</v>
      </c>
      <c r="C21" s="124">
        <v>20000000000</v>
      </c>
      <c r="D21" s="124">
        <v>0</v>
      </c>
      <c r="E21" s="124">
        <v>0</v>
      </c>
      <c r="F21" s="124">
        <v>0</v>
      </c>
      <c r="G21" s="124">
        <v>20000000000</v>
      </c>
      <c r="H21" s="124">
        <v>0</v>
      </c>
      <c r="I21" s="125">
        <f>G21-C21</f>
        <v>0</v>
      </c>
      <c r="J21" s="125"/>
      <c r="L21" s="151">
        <f>+L19-L18</f>
        <v>-44820071582.459976</v>
      </c>
      <c r="M21" s="104" t="s">
        <v>546</v>
      </c>
    </row>
    <row r="22" spans="1:13">
      <c r="A22" s="103" t="s">
        <v>126</v>
      </c>
      <c r="B22" s="103" t="s">
        <v>127</v>
      </c>
      <c r="C22" s="124">
        <v>0</v>
      </c>
      <c r="D22" s="124">
        <v>0</v>
      </c>
      <c r="E22" s="124">
        <v>25000000000</v>
      </c>
      <c r="F22" s="124">
        <v>0</v>
      </c>
      <c r="G22" s="124">
        <v>25000000000</v>
      </c>
      <c r="H22" s="124">
        <v>0</v>
      </c>
      <c r="I22" s="125">
        <f t="shared" ref="I21:I25" si="3">G22-C22</f>
        <v>25000000000</v>
      </c>
      <c r="J22" s="125"/>
      <c r="L22" s="151">
        <f>+L18</f>
        <v>116639368894.74002</v>
      </c>
      <c r="M22" s="104" t="s">
        <v>549</v>
      </c>
    </row>
    <row r="23" spans="1:13">
      <c r="A23" s="103" t="s">
        <v>281</v>
      </c>
      <c r="B23" s="103" t="s">
        <v>282</v>
      </c>
      <c r="C23" s="124">
        <v>0</v>
      </c>
      <c r="D23" s="124">
        <v>0</v>
      </c>
      <c r="E23" s="124">
        <v>30000000000</v>
      </c>
      <c r="F23" s="124">
        <v>30000000000</v>
      </c>
      <c r="G23" s="124">
        <v>0</v>
      </c>
      <c r="H23" s="124">
        <v>0</v>
      </c>
      <c r="I23" s="125">
        <f t="shared" si="3"/>
        <v>0</v>
      </c>
      <c r="J23" s="125"/>
      <c r="L23" s="151">
        <f>+SUM(L21:L22)</f>
        <v>71819297312.280045</v>
      </c>
    </row>
    <row r="24" spans="1:13">
      <c r="A24" s="103" t="s">
        <v>130</v>
      </c>
      <c r="B24" s="103" t="s">
        <v>131</v>
      </c>
      <c r="C24" s="124">
        <v>0</v>
      </c>
      <c r="D24" s="124">
        <v>0</v>
      </c>
      <c r="E24" s="124">
        <v>5000000000</v>
      </c>
      <c r="F24" s="124">
        <v>0</v>
      </c>
      <c r="G24" s="124">
        <v>5000000000</v>
      </c>
      <c r="H24" s="124">
        <v>0</v>
      </c>
      <c r="I24" s="125">
        <f t="shared" si="3"/>
        <v>5000000000</v>
      </c>
      <c r="J24" s="125"/>
    </row>
    <row r="25" spans="1:13">
      <c r="A25" s="103" t="s">
        <v>134</v>
      </c>
      <c r="B25" s="103" t="s">
        <v>135</v>
      </c>
      <c r="C25" s="124">
        <v>0</v>
      </c>
      <c r="D25" s="124">
        <v>0</v>
      </c>
      <c r="E25" s="124">
        <v>35000000000</v>
      </c>
      <c r="F25" s="124">
        <v>0</v>
      </c>
      <c r="G25" s="124">
        <v>35000000000</v>
      </c>
      <c r="H25" s="124">
        <v>0</v>
      </c>
      <c r="I25" s="125">
        <f t="shared" si="3"/>
        <v>35000000000</v>
      </c>
      <c r="J25" s="125"/>
    </row>
    <row r="26" spans="1:13">
      <c r="A26" s="103" t="s">
        <v>202</v>
      </c>
      <c r="B26" s="103" t="s">
        <v>203</v>
      </c>
      <c r="C26" s="124">
        <v>169863014</v>
      </c>
      <c r="D26" s="124">
        <v>0</v>
      </c>
      <c r="E26" s="124">
        <v>5824469182</v>
      </c>
      <c r="F26" s="124">
        <v>5332625574.7299995</v>
      </c>
      <c r="G26" s="124">
        <v>661706621.27000058</v>
      </c>
      <c r="H26" s="124">
        <v>0</v>
      </c>
      <c r="I26" s="130">
        <f>G26-C26</f>
        <v>491843607.27000058</v>
      </c>
      <c r="J26" s="125"/>
    </row>
    <row r="27" spans="1:13">
      <c r="A27" s="183" t="s">
        <v>218</v>
      </c>
      <c r="B27" s="103" t="s">
        <v>219</v>
      </c>
      <c r="C27" s="124">
        <v>136517614</v>
      </c>
      <c r="D27" s="124">
        <v>0</v>
      </c>
      <c r="E27" s="124">
        <v>18938509</v>
      </c>
      <c r="F27" s="124">
        <v>342</v>
      </c>
      <c r="G27" s="124">
        <v>155455781</v>
      </c>
      <c r="H27" s="124">
        <v>0</v>
      </c>
      <c r="I27" s="184">
        <f t="shared" ref="I27:I49" si="4">G27-C27</f>
        <v>18938167</v>
      </c>
      <c r="J27" s="125"/>
    </row>
    <row r="28" spans="1:13">
      <c r="A28" s="183" t="s">
        <v>216</v>
      </c>
      <c r="B28" s="103" t="s">
        <v>217</v>
      </c>
      <c r="C28" s="124">
        <v>11888910</v>
      </c>
      <c r="D28" s="124">
        <v>0</v>
      </c>
      <c r="E28" s="124">
        <v>0</v>
      </c>
      <c r="F28" s="124">
        <v>0</v>
      </c>
      <c r="G28" s="124">
        <v>11888910</v>
      </c>
      <c r="H28" s="124">
        <v>0</v>
      </c>
      <c r="I28" s="184">
        <f t="shared" si="4"/>
        <v>0</v>
      </c>
      <c r="J28" s="125"/>
    </row>
    <row r="29" spans="1:13">
      <c r="A29" s="183" t="s">
        <v>283</v>
      </c>
      <c r="B29" s="103" t="s">
        <v>284</v>
      </c>
      <c r="C29" s="124">
        <v>0</v>
      </c>
      <c r="D29" s="124">
        <v>0</v>
      </c>
      <c r="E29" s="124">
        <v>4449332</v>
      </c>
      <c r="F29" s="124">
        <v>4449332</v>
      </c>
      <c r="G29" s="124">
        <v>0</v>
      </c>
      <c r="H29" s="124">
        <v>0</v>
      </c>
      <c r="I29" s="184">
        <f>G29-C29</f>
        <v>0</v>
      </c>
      <c r="J29" s="125"/>
    </row>
    <row r="30" spans="1:13">
      <c r="A30" s="103">
        <v>1201181</v>
      </c>
      <c r="B30" s="103" t="s">
        <v>161</v>
      </c>
      <c r="C30" s="124">
        <v>4284683</v>
      </c>
      <c r="D30" s="124">
        <v>0</v>
      </c>
      <c r="E30" s="124">
        <v>23279067826</v>
      </c>
      <c r="F30" s="124">
        <v>23224531620</v>
      </c>
      <c r="G30" s="124">
        <v>58820889</v>
      </c>
      <c r="H30" s="124">
        <v>0</v>
      </c>
      <c r="I30" s="131">
        <f>G30-C30</f>
        <v>54536206</v>
      </c>
      <c r="J30" s="125"/>
    </row>
    <row r="31" spans="1:13">
      <c r="A31" s="103" t="s">
        <v>163</v>
      </c>
      <c r="B31" s="103" t="s">
        <v>164</v>
      </c>
      <c r="C31" s="124">
        <v>23823233</v>
      </c>
      <c r="D31" s="124">
        <v>0</v>
      </c>
      <c r="E31" s="124">
        <v>5742141356</v>
      </c>
      <c r="F31" s="124">
        <v>5765964589</v>
      </c>
      <c r="G31" s="124">
        <v>0</v>
      </c>
      <c r="H31" s="124">
        <v>0</v>
      </c>
      <c r="I31" s="131">
        <f>G31-C31</f>
        <v>-23823233</v>
      </c>
      <c r="J31" s="125"/>
    </row>
    <row r="32" spans="1:13">
      <c r="A32" s="103" t="s">
        <v>204</v>
      </c>
      <c r="B32" s="103" t="s">
        <v>205</v>
      </c>
      <c r="C32" s="124">
        <v>0</v>
      </c>
      <c r="D32" s="124">
        <v>0</v>
      </c>
      <c r="E32" s="124">
        <v>1024442620</v>
      </c>
      <c r="F32" s="124">
        <v>488583100</v>
      </c>
      <c r="G32" s="124">
        <v>535859520</v>
      </c>
      <c r="H32" s="124">
        <v>0</v>
      </c>
      <c r="I32" s="130">
        <f t="shared" si="4"/>
        <v>535859520</v>
      </c>
      <c r="J32" s="125"/>
      <c r="L32" s="104">
        <f>-SUM('TB 2012'!I35:I43)/1000-SUM('TB 2012'!I27:I29)/1000</f>
        <v>-197710.09852000006</v>
      </c>
    </row>
    <row r="33" spans="1:12">
      <c r="A33" s="103">
        <v>1302216</v>
      </c>
      <c r="B33" s="103" t="s">
        <v>156</v>
      </c>
      <c r="C33" s="124">
        <v>117180970</v>
      </c>
      <c r="D33" s="124">
        <v>0</v>
      </c>
      <c r="E33" s="124">
        <v>554659940.07999992</v>
      </c>
      <c r="F33" s="124">
        <v>197620970</v>
      </c>
      <c r="G33" s="124">
        <v>474219940.07999992</v>
      </c>
      <c r="H33" s="124">
        <v>0</v>
      </c>
      <c r="I33" s="131">
        <f>G33-C33</f>
        <v>357038970.07999992</v>
      </c>
      <c r="J33" s="125"/>
    </row>
    <row r="34" spans="1:12">
      <c r="A34" s="103">
        <v>1302218</v>
      </c>
      <c r="B34" s="103" t="s">
        <v>158</v>
      </c>
      <c r="C34" s="124">
        <v>0</v>
      </c>
      <c r="D34" s="132">
        <v>37250970</v>
      </c>
      <c r="E34" s="124">
        <v>401906494.95999998</v>
      </c>
      <c r="F34" s="124">
        <v>323955265.03000003</v>
      </c>
      <c r="G34" s="124">
        <v>40700259.93</v>
      </c>
      <c r="H34" s="124">
        <v>0</v>
      </c>
      <c r="I34" s="133">
        <f>G34-C34+D34</f>
        <v>77951229.930000007</v>
      </c>
      <c r="J34" s="125"/>
      <c r="L34" s="151">
        <f>+E34-F34</f>
        <v>77951229.929999948</v>
      </c>
    </row>
    <row r="35" spans="1:12">
      <c r="A35" s="103" t="s">
        <v>166</v>
      </c>
      <c r="B35" s="103" t="s">
        <v>167</v>
      </c>
      <c r="C35" s="124">
        <v>61100181</v>
      </c>
      <c r="D35" s="124">
        <v>0</v>
      </c>
      <c r="E35" s="124">
        <v>4846066</v>
      </c>
      <c r="F35" s="124">
        <v>59977664</v>
      </c>
      <c r="G35" s="124">
        <v>5968583</v>
      </c>
      <c r="H35" s="124">
        <v>0</v>
      </c>
      <c r="I35" s="131">
        <f t="shared" si="4"/>
        <v>-55131598</v>
      </c>
      <c r="J35" s="125"/>
      <c r="L35" s="151">
        <f t="shared" ref="L35:L49" si="5">+E35-F35</f>
        <v>-55131598</v>
      </c>
    </row>
    <row r="36" spans="1:12">
      <c r="A36" s="103" t="s">
        <v>172</v>
      </c>
      <c r="B36" s="103" t="s">
        <v>173</v>
      </c>
      <c r="C36" s="124">
        <v>27761355.850000001</v>
      </c>
      <c r="D36" s="124">
        <v>0</v>
      </c>
      <c r="E36" s="124">
        <v>99581906.229999974</v>
      </c>
      <c r="F36" s="124">
        <v>127343262.07999998</v>
      </c>
      <c r="G36" s="124">
        <v>0</v>
      </c>
      <c r="H36" s="124">
        <v>0</v>
      </c>
      <c r="I36" s="131">
        <f t="shared" si="4"/>
        <v>-27761355.850000001</v>
      </c>
      <c r="J36" s="125"/>
      <c r="L36" s="151">
        <f t="shared" si="5"/>
        <v>-27761355.850000009</v>
      </c>
    </row>
    <row r="37" spans="1:12">
      <c r="A37" s="103" t="s">
        <v>168</v>
      </c>
      <c r="B37" s="103" t="s">
        <v>169</v>
      </c>
      <c r="C37" s="124">
        <v>27382363.629999999</v>
      </c>
      <c r="D37" s="124">
        <v>0</v>
      </c>
      <c r="E37" s="124">
        <v>6845600</v>
      </c>
      <c r="F37" s="124">
        <v>34227963.630000003</v>
      </c>
      <c r="G37" s="124">
        <v>0</v>
      </c>
      <c r="H37" s="124">
        <v>4.7683715820312501E-9</v>
      </c>
      <c r="I37" s="131">
        <f>G37-C37</f>
        <v>-27382363.629999999</v>
      </c>
      <c r="J37" s="125"/>
      <c r="L37" s="151">
        <f t="shared" si="5"/>
        <v>-27382363.630000003</v>
      </c>
    </row>
    <row r="38" spans="1:12">
      <c r="A38" s="103" t="s">
        <v>285</v>
      </c>
      <c r="B38" s="103" t="s">
        <v>286</v>
      </c>
      <c r="C38" s="124">
        <v>0</v>
      </c>
      <c r="D38" s="124">
        <v>0</v>
      </c>
      <c r="E38" s="124">
        <v>94848000</v>
      </c>
      <c r="F38" s="124">
        <v>94848000</v>
      </c>
      <c r="G38" s="124">
        <v>0</v>
      </c>
      <c r="H38" s="124">
        <v>0</v>
      </c>
      <c r="I38" s="131">
        <f t="shared" si="4"/>
        <v>0</v>
      </c>
      <c r="J38" s="125"/>
      <c r="L38" s="151">
        <f t="shared" si="5"/>
        <v>0</v>
      </c>
    </row>
    <row r="39" spans="1:12">
      <c r="A39" s="103" t="s">
        <v>170</v>
      </c>
      <c r="B39" s="103" t="s">
        <v>171</v>
      </c>
      <c r="C39" s="124">
        <v>36400000</v>
      </c>
      <c r="D39" s="124">
        <v>0</v>
      </c>
      <c r="E39" s="124">
        <v>243979076</v>
      </c>
      <c r="F39" s="124">
        <v>279879076</v>
      </c>
      <c r="G39" s="124">
        <v>500000</v>
      </c>
      <c r="H39" s="124">
        <v>0</v>
      </c>
      <c r="I39" s="131">
        <f t="shared" si="4"/>
        <v>-35900000</v>
      </c>
      <c r="J39" s="125"/>
      <c r="L39" s="151">
        <f>+E39-F39</f>
        <v>-35900000</v>
      </c>
    </row>
    <row r="40" spans="1:12">
      <c r="A40" s="103" t="s">
        <v>211</v>
      </c>
      <c r="B40" s="103" t="s">
        <v>212</v>
      </c>
      <c r="C40" s="124">
        <v>23950902.469999999</v>
      </c>
      <c r="D40" s="124">
        <v>0</v>
      </c>
      <c r="E40" s="124">
        <v>972552382.15999997</v>
      </c>
      <c r="F40" s="124">
        <v>555734229.16999996</v>
      </c>
      <c r="G40" s="124">
        <v>440769055.4600001</v>
      </c>
      <c r="H40" s="124">
        <v>0</v>
      </c>
      <c r="I40" s="131">
        <f t="shared" si="4"/>
        <v>416818152.99000013</v>
      </c>
      <c r="J40" s="125"/>
      <c r="L40" s="151">
        <f t="shared" si="5"/>
        <v>416818152.99000001</v>
      </c>
    </row>
    <row r="41" spans="1:12">
      <c r="A41" s="103" t="s">
        <v>209</v>
      </c>
      <c r="B41" s="103" t="s">
        <v>210</v>
      </c>
      <c r="C41" s="124">
        <v>2097153.13</v>
      </c>
      <c r="D41" s="124">
        <v>0</v>
      </c>
      <c r="E41" s="124">
        <v>244753095.47999999</v>
      </c>
      <c r="F41" s="124">
        <v>126554193.65000001</v>
      </c>
      <c r="G41" s="124">
        <v>120296054.95999999</v>
      </c>
      <c r="H41" s="124">
        <v>0</v>
      </c>
      <c r="I41" s="131">
        <f t="shared" si="4"/>
        <v>118198901.83</v>
      </c>
      <c r="J41" s="125"/>
      <c r="L41" s="151">
        <f t="shared" si="5"/>
        <v>118198901.82999998</v>
      </c>
    </row>
    <row r="42" spans="1:12">
      <c r="A42" s="103" t="s">
        <v>207</v>
      </c>
      <c r="B42" s="103" t="s">
        <v>208</v>
      </c>
      <c r="C42" s="124">
        <v>215995907.5</v>
      </c>
      <c r="D42" s="124">
        <v>0</v>
      </c>
      <c r="E42" s="124">
        <v>5280000</v>
      </c>
      <c r="F42" s="124">
        <v>221059514.05000001</v>
      </c>
      <c r="G42" s="124">
        <v>216393.45</v>
      </c>
      <c r="H42" s="124">
        <v>0</v>
      </c>
      <c r="I42" s="131">
        <f t="shared" si="4"/>
        <v>-215779514.05000001</v>
      </c>
      <c r="J42" s="125"/>
      <c r="L42" s="151">
        <f t="shared" si="5"/>
        <v>-215779514.05000001</v>
      </c>
    </row>
    <row r="43" spans="1:12">
      <c r="A43" s="103" t="s">
        <v>213</v>
      </c>
      <c r="B43" s="103" t="s">
        <v>214</v>
      </c>
      <c r="C43" s="124">
        <v>0</v>
      </c>
      <c r="D43" s="124">
        <v>0</v>
      </c>
      <c r="E43" s="124">
        <v>9971500</v>
      </c>
      <c r="F43" s="124">
        <v>4261791.7699999996</v>
      </c>
      <c r="G43" s="124">
        <v>5709708.2300000004</v>
      </c>
      <c r="H43" s="124">
        <v>0</v>
      </c>
      <c r="I43" s="131">
        <f t="shared" si="4"/>
        <v>5709708.2300000004</v>
      </c>
      <c r="J43" s="125"/>
      <c r="L43" s="151">
        <f t="shared" si="5"/>
        <v>5709708.2300000004</v>
      </c>
    </row>
    <row r="44" spans="1:12">
      <c r="A44" s="182" t="s">
        <v>175</v>
      </c>
      <c r="B44" s="103" t="s">
        <v>176</v>
      </c>
      <c r="C44" s="124">
        <v>270213970.00999999</v>
      </c>
      <c r="D44" s="124">
        <v>0</v>
      </c>
      <c r="E44" s="124">
        <v>48000000</v>
      </c>
      <c r="F44" s="124">
        <v>10435920</v>
      </c>
      <c r="G44" s="124">
        <v>307778050.00999999</v>
      </c>
      <c r="H44" s="124">
        <v>0</v>
      </c>
      <c r="I44" s="131">
        <f>G44-C44</f>
        <v>37564080</v>
      </c>
      <c r="J44" s="125"/>
      <c r="L44" s="151">
        <f t="shared" si="5"/>
        <v>37564080</v>
      </c>
    </row>
    <row r="45" spans="1:12">
      <c r="A45" s="182" t="s">
        <v>180</v>
      </c>
      <c r="B45" s="103" t="s">
        <v>181</v>
      </c>
      <c r="C45" s="124">
        <v>615368000</v>
      </c>
      <c r="D45" s="124">
        <v>0</v>
      </c>
      <c r="E45" s="124">
        <v>14000000</v>
      </c>
      <c r="F45" s="124">
        <v>0</v>
      </c>
      <c r="G45" s="124">
        <v>629368000</v>
      </c>
      <c r="H45" s="124">
        <v>0</v>
      </c>
      <c r="I45" s="125">
        <f t="shared" si="4"/>
        <v>14000000</v>
      </c>
      <c r="J45" s="125"/>
      <c r="L45" s="151">
        <f t="shared" si="5"/>
        <v>14000000</v>
      </c>
    </row>
    <row r="46" spans="1:12">
      <c r="A46" s="182" t="s">
        <v>178</v>
      </c>
      <c r="B46" s="103" t="s">
        <v>179</v>
      </c>
      <c r="C46" s="124">
        <v>1539482051.8699999</v>
      </c>
      <c r="D46" s="124">
        <v>0</v>
      </c>
      <c r="E46" s="124">
        <v>8190000</v>
      </c>
      <c r="F46" s="124">
        <v>0</v>
      </c>
      <c r="G46" s="124">
        <v>1547672051.8699999</v>
      </c>
      <c r="H46" s="124">
        <v>0</v>
      </c>
      <c r="I46" s="125">
        <f t="shared" si="4"/>
        <v>8190000</v>
      </c>
      <c r="J46" s="125"/>
      <c r="L46" s="151">
        <f t="shared" si="5"/>
        <v>8190000</v>
      </c>
    </row>
    <row r="47" spans="1:12">
      <c r="A47" s="182" t="s">
        <v>184</v>
      </c>
      <c r="B47" s="103" t="s">
        <v>185</v>
      </c>
      <c r="C47" s="124">
        <v>574260874.07000005</v>
      </c>
      <c r="D47" s="124">
        <v>0</v>
      </c>
      <c r="E47" s="124">
        <v>79745150</v>
      </c>
      <c r="F47" s="124">
        <v>4264000</v>
      </c>
      <c r="G47" s="124">
        <v>649742024.07000005</v>
      </c>
      <c r="H47" s="124">
        <v>0</v>
      </c>
      <c r="I47" s="125">
        <f t="shared" si="4"/>
        <v>75481150</v>
      </c>
      <c r="J47" s="125"/>
      <c r="L47" s="151">
        <f t="shared" si="5"/>
        <v>75481150</v>
      </c>
    </row>
    <row r="48" spans="1:12">
      <c r="A48" s="182" t="s">
        <v>182</v>
      </c>
      <c r="B48" s="103" t="s">
        <v>183</v>
      </c>
      <c r="C48" s="124">
        <v>96539607.819999993</v>
      </c>
      <c r="D48" s="124">
        <v>0</v>
      </c>
      <c r="E48" s="124">
        <v>48308585</v>
      </c>
      <c r="F48" s="124">
        <v>6633000</v>
      </c>
      <c r="G48" s="124">
        <v>138215192.81999999</v>
      </c>
      <c r="H48" s="124">
        <v>0</v>
      </c>
      <c r="I48" s="125">
        <f t="shared" si="4"/>
        <v>41675585</v>
      </c>
      <c r="J48" s="125"/>
      <c r="L48" s="151">
        <f t="shared" si="5"/>
        <v>41675585</v>
      </c>
    </row>
    <row r="49" spans="1:13">
      <c r="A49" s="182" t="s">
        <v>186</v>
      </c>
      <c r="B49" s="103" t="s">
        <v>187</v>
      </c>
      <c r="C49" s="124">
        <v>373939162.11000001</v>
      </c>
      <c r="D49" s="124">
        <v>0</v>
      </c>
      <c r="E49" s="124">
        <v>8485500</v>
      </c>
      <c r="F49" s="124">
        <v>1335000</v>
      </c>
      <c r="G49" s="124">
        <v>381089662.11000001</v>
      </c>
      <c r="H49" s="124">
        <v>0</v>
      </c>
      <c r="I49" s="125">
        <f t="shared" si="4"/>
        <v>7150500</v>
      </c>
      <c r="J49" s="125"/>
      <c r="L49" s="151">
        <f t="shared" si="5"/>
        <v>7150500</v>
      </c>
    </row>
    <row r="50" spans="1:13">
      <c r="A50" s="103" t="s">
        <v>199</v>
      </c>
      <c r="B50" s="103" t="s">
        <v>200</v>
      </c>
      <c r="C50" s="124">
        <v>0</v>
      </c>
      <c r="D50" s="124">
        <v>33563188.439999998</v>
      </c>
      <c r="E50" s="124">
        <v>10435920</v>
      </c>
      <c r="F50" s="124">
        <v>35543316.400000013</v>
      </c>
      <c r="G50" s="124">
        <v>0</v>
      </c>
      <c r="H50" s="124">
        <v>58670584.840000018</v>
      </c>
      <c r="I50" s="125"/>
      <c r="J50" s="130">
        <f>H50-D50</f>
        <v>25107396.400000021</v>
      </c>
    </row>
    <row r="51" spans="1:13">
      <c r="A51" s="103" t="s">
        <v>197</v>
      </c>
      <c r="B51" s="103" t="s">
        <v>198</v>
      </c>
      <c r="C51" s="124">
        <v>0</v>
      </c>
      <c r="D51" s="124">
        <v>119766962.23</v>
      </c>
      <c r="E51" s="124">
        <v>0</v>
      </c>
      <c r="F51" s="124">
        <v>124442352.95000003</v>
      </c>
      <c r="G51" s="124">
        <v>0</v>
      </c>
      <c r="H51" s="124">
        <v>244209315.18000004</v>
      </c>
      <c r="I51" s="125"/>
      <c r="J51" s="130">
        <f t="shared" ref="J51:J78" si="6">H51-D51</f>
        <v>124442352.95000003</v>
      </c>
    </row>
    <row r="52" spans="1:13">
      <c r="A52" s="103" t="s">
        <v>191</v>
      </c>
      <c r="B52" s="103" t="s">
        <v>192</v>
      </c>
      <c r="C52" s="124">
        <v>0</v>
      </c>
      <c r="D52" s="124">
        <v>150658178.90000001</v>
      </c>
      <c r="E52" s="124">
        <v>27897.870000000006</v>
      </c>
      <c r="F52" s="124">
        <v>155817860.18000007</v>
      </c>
      <c r="G52" s="124">
        <v>0</v>
      </c>
      <c r="H52" s="124">
        <v>306448141.2100001</v>
      </c>
      <c r="I52" s="125"/>
      <c r="J52" s="130">
        <f t="shared" si="6"/>
        <v>155789962.31000009</v>
      </c>
    </row>
    <row r="53" spans="1:13">
      <c r="A53" s="103" t="s">
        <v>189</v>
      </c>
      <c r="B53" s="103" t="s">
        <v>190</v>
      </c>
      <c r="C53" s="124">
        <v>0</v>
      </c>
      <c r="D53" s="124">
        <v>49361920.759999998</v>
      </c>
      <c r="E53" s="124">
        <v>506325.48</v>
      </c>
      <c r="F53" s="124">
        <v>63897226.840000026</v>
      </c>
      <c r="G53" s="124">
        <v>0</v>
      </c>
      <c r="H53" s="124">
        <v>112752822.12000003</v>
      </c>
      <c r="I53" s="125"/>
      <c r="J53" s="130">
        <f t="shared" si="6"/>
        <v>63390901.360000037</v>
      </c>
    </row>
    <row r="54" spans="1:13">
      <c r="A54" s="103" t="s">
        <v>195</v>
      </c>
      <c r="B54" s="103" t="s">
        <v>196</v>
      </c>
      <c r="C54" s="124">
        <v>0</v>
      </c>
      <c r="D54" s="124">
        <v>7995341.2000000002</v>
      </c>
      <c r="E54" s="124">
        <v>579192.19999999995</v>
      </c>
      <c r="F54" s="124">
        <v>12830355.130000001</v>
      </c>
      <c r="G54" s="124">
        <v>0</v>
      </c>
      <c r="H54" s="124">
        <v>20246504.129999999</v>
      </c>
      <c r="I54" s="125"/>
      <c r="J54" s="130">
        <f t="shared" si="6"/>
        <v>12251162.93</v>
      </c>
    </row>
    <row r="55" spans="1:13">
      <c r="A55" s="103" t="s">
        <v>193</v>
      </c>
      <c r="B55" s="103" t="s">
        <v>194</v>
      </c>
      <c r="C55" s="124">
        <v>0</v>
      </c>
      <c r="D55" s="124">
        <v>35686254</v>
      </c>
      <c r="E55" s="124">
        <v>260933.48</v>
      </c>
      <c r="F55" s="124">
        <v>37978166.580000006</v>
      </c>
      <c r="G55" s="124">
        <v>0</v>
      </c>
      <c r="H55" s="124">
        <v>73403487.099999994</v>
      </c>
      <c r="I55" s="125"/>
      <c r="J55" s="130">
        <f t="shared" si="6"/>
        <v>37717233.099999994</v>
      </c>
    </row>
    <row r="56" spans="1:13">
      <c r="A56" s="103" t="s">
        <v>287</v>
      </c>
      <c r="B56" s="103" t="s">
        <v>288</v>
      </c>
      <c r="C56" s="124">
        <v>0</v>
      </c>
      <c r="D56" s="124">
        <v>0</v>
      </c>
      <c r="E56" s="124">
        <v>24371500</v>
      </c>
      <c r="F56" s="124">
        <v>24371500</v>
      </c>
      <c r="G56" s="124">
        <v>0</v>
      </c>
      <c r="H56" s="124">
        <v>0</v>
      </c>
      <c r="I56" s="125"/>
      <c r="J56" s="125">
        <f t="shared" si="6"/>
        <v>0</v>
      </c>
    </row>
    <row r="57" spans="1:13">
      <c r="A57" s="103" t="s">
        <v>228</v>
      </c>
      <c r="B57" s="103" t="s">
        <v>229</v>
      </c>
      <c r="C57" s="124">
        <v>0</v>
      </c>
      <c r="D57" s="124">
        <v>3845762</v>
      </c>
      <c r="E57" s="124">
        <v>23018403859</v>
      </c>
      <c r="F57" s="124">
        <v>23071795673</v>
      </c>
      <c r="G57" s="124">
        <v>0</v>
      </c>
      <c r="H57" s="124">
        <v>57237576</v>
      </c>
      <c r="I57" s="125"/>
      <c r="J57" s="125">
        <f>H57-D57</f>
        <v>53391814</v>
      </c>
    </row>
    <row r="58" spans="1:13">
      <c r="A58" s="103" t="s">
        <v>289</v>
      </c>
      <c r="B58" s="103" t="s">
        <v>290</v>
      </c>
      <c r="C58" s="124">
        <v>0</v>
      </c>
      <c r="D58" s="124">
        <v>0</v>
      </c>
      <c r="E58" s="124">
        <v>3500000</v>
      </c>
      <c r="F58" s="124">
        <v>3500000</v>
      </c>
      <c r="G58" s="124">
        <v>0</v>
      </c>
      <c r="H58" s="124">
        <v>0</v>
      </c>
      <c r="I58" s="125"/>
      <c r="J58" s="125">
        <f t="shared" si="6"/>
        <v>0</v>
      </c>
    </row>
    <row r="59" spans="1:13">
      <c r="A59" s="103" t="s">
        <v>223</v>
      </c>
      <c r="B59" s="103" t="s">
        <v>224</v>
      </c>
      <c r="C59" s="124">
        <v>0</v>
      </c>
      <c r="D59" s="124">
        <v>23694855</v>
      </c>
      <c r="E59" s="124">
        <v>5763349746</v>
      </c>
      <c r="F59" s="124">
        <v>5739654891</v>
      </c>
      <c r="G59" s="124">
        <v>0</v>
      </c>
      <c r="H59" s="124">
        <v>0</v>
      </c>
      <c r="I59" s="125"/>
      <c r="J59" s="125">
        <f>H59-D59</f>
        <v>-23694855</v>
      </c>
    </row>
    <row r="60" spans="1:13">
      <c r="A60" s="103" t="s">
        <v>225</v>
      </c>
      <c r="B60" s="103" t="s">
        <v>226</v>
      </c>
      <c r="C60" s="124">
        <v>0</v>
      </c>
      <c r="D60" s="124">
        <v>39741098167</v>
      </c>
      <c r="E60" s="124">
        <v>653431862481</v>
      </c>
      <c r="F60" s="124">
        <v>669341712137</v>
      </c>
      <c r="G60" s="124">
        <v>0</v>
      </c>
      <c r="H60" s="124">
        <v>55650947823</v>
      </c>
      <c r="I60" s="125"/>
      <c r="J60" s="125">
        <f t="shared" si="6"/>
        <v>15909849656</v>
      </c>
    </row>
    <row r="61" spans="1:13">
      <c r="A61" s="103" t="s">
        <v>291</v>
      </c>
      <c r="B61" s="103" t="s">
        <v>292</v>
      </c>
      <c r="C61" s="124">
        <v>0</v>
      </c>
      <c r="D61" s="124">
        <v>0</v>
      </c>
      <c r="E61" s="124">
        <v>405151388000</v>
      </c>
      <c r="F61" s="124">
        <v>405151388000</v>
      </c>
      <c r="G61" s="124">
        <v>0</v>
      </c>
      <c r="H61" s="124">
        <v>0</v>
      </c>
      <c r="I61" s="125"/>
      <c r="J61" s="125">
        <f t="shared" si="6"/>
        <v>0</v>
      </c>
    </row>
    <row r="62" spans="1:13">
      <c r="A62" s="103" t="s">
        <v>221</v>
      </c>
      <c r="B62" s="103" t="s">
        <v>222</v>
      </c>
      <c r="C62" s="124">
        <v>0</v>
      </c>
      <c r="D62" s="124">
        <v>0</v>
      </c>
      <c r="E62" s="124">
        <v>170852705250.23001</v>
      </c>
      <c r="F62" s="124">
        <v>170877899898.23001</v>
      </c>
      <c r="G62" s="124">
        <v>0</v>
      </c>
      <c r="H62" s="124">
        <v>25194648</v>
      </c>
      <c r="I62" s="125"/>
      <c r="J62" s="125">
        <f t="shared" si="6"/>
        <v>25194648</v>
      </c>
    </row>
    <row r="63" spans="1:13">
      <c r="A63" s="103" t="s">
        <v>231</v>
      </c>
      <c r="B63" s="103" t="s">
        <v>232</v>
      </c>
      <c r="C63" s="124">
        <v>0</v>
      </c>
      <c r="D63" s="124">
        <v>0</v>
      </c>
      <c r="E63" s="124">
        <v>48829887.229999997</v>
      </c>
      <c r="F63" s="124">
        <v>1504391481.25</v>
      </c>
      <c r="G63" s="124">
        <v>0</v>
      </c>
      <c r="H63" s="124">
        <v>1455561594.02</v>
      </c>
      <c r="I63" s="125"/>
      <c r="J63" s="125">
        <f>H63-D63</f>
        <v>1455561594.02</v>
      </c>
      <c r="M63" s="151"/>
    </row>
    <row r="64" spans="1:13">
      <c r="A64" s="103" t="s">
        <v>234</v>
      </c>
      <c r="B64" s="103" t="s">
        <v>293</v>
      </c>
      <c r="C64" s="124">
        <v>0</v>
      </c>
      <c r="D64" s="124">
        <v>0</v>
      </c>
      <c r="E64" s="124">
        <v>4712841574.8999996</v>
      </c>
      <c r="F64" s="124">
        <v>4712841574.8499994</v>
      </c>
      <c r="G64" s="124">
        <v>0.05</v>
      </c>
      <c r="H64" s="124">
        <v>0</v>
      </c>
      <c r="I64" s="125"/>
      <c r="J64" s="125">
        <f t="shared" si="6"/>
        <v>0</v>
      </c>
    </row>
    <row r="65" spans="1:10">
      <c r="A65" s="103" t="s">
        <v>236</v>
      </c>
      <c r="B65" s="103" t="s">
        <v>237</v>
      </c>
      <c r="C65" s="124">
        <v>0</v>
      </c>
      <c r="D65" s="124">
        <v>0</v>
      </c>
      <c r="E65" s="124">
        <v>2251777555</v>
      </c>
      <c r="F65" s="124">
        <v>2391516027.1900005</v>
      </c>
      <c r="G65" s="124">
        <v>0</v>
      </c>
      <c r="H65" s="124">
        <v>139738472.19000062</v>
      </c>
      <c r="I65" s="125"/>
      <c r="J65" s="125">
        <f t="shared" si="6"/>
        <v>139738472.19000062</v>
      </c>
    </row>
    <row r="66" spans="1:10">
      <c r="A66" s="103" t="s">
        <v>238</v>
      </c>
      <c r="B66" s="103" t="s">
        <v>239</v>
      </c>
      <c r="C66" s="124">
        <v>0</v>
      </c>
      <c r="D66" s="124">
        <v>43421744.07</v>
      </c>
      <c r="E66" s="124">
        <v>272214930.96000004</v>
      </c>
      <c r="F66" s="124">
        <v>260210985.96000001</v>
      </c>
      <c r="G66" s="124">
        <v>0</v>
      </c>
      <c r="H66" s="124">
        <v>31417799.069999963</v>
      </c>
      <c r="I66" s="125"/>
      <c r="J66" s="125">
        <f t="shared" si="6"/>
        <v>-12003945.000000037</v>
      </c>
    </row>
    <row r="67" spans="1:10">
      <c r="A67" s="103" t="s">
        <v>251</v>
      </c>
      <c r="B67" s="103" t="s">
        <v>252</v>
      </c>
      <c r="C67" s="124">
        <v>0</v>
      </c>
      <c r="D67" s="124">
        <v>139126366</v>
      </c>
      <c r="E67" s="124">
        <v>916380056.83000004</v>
      </c>
      <c r="F67" s="124">
        <v>906352670.83000004</v>
      </c>
      <c r="G67" s="124">
        <v>0</v>
      </c>
      <c r="H67" s="124">
        <v>129098980</v>
      </c>
      <c r="I67" s="125"/>
      <c r="J67" s="125">
        <f t="shared" si="6"/>
        <v>-10027386</v>
      </c>
    </row>
    <row r="68" spans="1:10">
      <c r="A68" s="103" t="s">
        <v>241</v>
      </c>
      <c r="B68" s="103" t="s">
        <v>242</v>
      </c>
      <c r="C68" s="124">
        <v>0</v>
      </c>
      <c r="D68" s="124">
        <v>17150000</v>
      </c>
      <c r="E68" s="124">
        <v>222439135.5</v>
      </c>
      <c r="F68" s="124">
        <v>226575647.5</v>
      </c>
      <c r="G68" s="124">
        <v>0</v>
      </c>
      <c r="H68" s="124">
        <v>21286512</v>
      </c>
      <c r="I68" s="125"/>
      <c r="J68" s="125">
        <f t="shared" si="6"/>
        <v>4136512</v>
      </c>
    </row>
    <row r="69" spans="1:10">
      <c r="A69" s="103" t="s">
        <v>245</v>
      </c>
      <c r="B69" s="103" t="s">
        <v>246</v>
      </c>
      <c r="C69" s="124">
        <v>0</v>
      </c>
      <c r="D69" s="124">
        <v>2600000</v>
      </c>
      <c r="E69" s="124">
        <v>28516760</v>
      </c>
      <c r="F69" s="124">
        <v>28498392</v>
      </c>
      <c r="G69" s="124">
        <v>0</v>
      </c>
      <c r="H69" s="124">
        <v>2581632</v>
      </c>
      <c r="I69" s="125"/>
      <c r="J69" s="125">
        <f t="shared" si="6"/>
        <v>-18368</v>
      </c>
    </row>
    <row r="70" spans="1:10">
      <c r="A70" s="103" t="s">
        <v>249</v>
      </c>
      <c r="B70" s="103" t="s">
        <v>250</v>
      </c>
      <c r="C70" s="124">
        <v>0</v>
      </c>
      <c r="D70" s="124">
        <v>302067313.32999998</v>
      </c>
      <c r="E70" s="124">
        <v>885687410.6400001</v>
      </c>
      <c r="F70" s="124">
        <v>959073137.30999994</v>
      </c>
      <c r="G70" s="124">
        <v>0</v>
      </c>
      <c r="H70" s="124">
        <v>375453039.99999982</v>
      </c>
      <c r="I70" s="125"/>
      <c r="J70" s="125">
        <f t="shared" si="6"/>
        <v>73385726.669999838</v>
      </c>
    </row>
    <row r="71" spans="1:10">
      <c r="A71" s="103" t="s">
        <v>253</v>
      </c>
      <c r="B71" s="103" t="s">
        <v>254</v>
      </c>
      <c r="C71" s="124">
        <v>0</v>
      </c>
      <c r="D71" s="124">
        <v>68308109.5</v>
      </c>
      <c r="E71" s="124">
        <v>102462149.5</v>
      </c>
      <c r="F71" s="124">
        <v>34154040</v>
      </c>
      <c r="G71" s="124">
        <v>0</v>
      </c>
      <c r="H71" s="124">
        <v>0</v>
      </c>
      <c r="I71" s="125"/>
      <c r="J71" s="125">
        <f>H71-D71</f>
        <v>-68308109.5</v>
      </c>
    </row>
    <row r="72" spans="1:10">
      <c r="A72" s="103" t="s">
        <v>243</v>
      </c>
      <c r="B72" s="103" t="s">
        <v>244</v>
      </c>
      <c r="C72" s="124">
        <v>0</v>
      </c>
      <c r="D72" s="124">
        <v>0</v>
      </c>
      <c r="E72" s="124">
        <v>45634040</v>
      </c>
      <c r="F72" s="124">
        <v>52873080</v>
      </c>
      <c r="G72" s="124">
        <v>0</v>
      </c>
      <c r="H72" s="124">
        <v>7239040</v>
      </c>
      <c r="I72" s="125"/>
      <c r="J72" s="125">
        <f t="shared" si="6"/>
        <v>7239040</v>
      </c>
    </row>
    <row r="73" spans="1:10">
      <c r="A73" s="103" t="s">
        <v>247</v>
      </c>
      <c r="B73" s="103" t="s">
        <v>248</v>
      </c>
      <c r="C73" s="124">
        <v>0</v>
      </c>
      <c r="D73" s="124">
        <v>0</v>
      </c>
      <c r="E73" s="124">
        <v>3303470081.6999998</v>
      </c>
      <c r="F73" s="124">
        <v>3594176821.3900008</v>
      </c>
      <c r="G73" s="124">
        <v>0</v>
      </c>
      <c r="H73" s="124">
        <v>290706739.69000059</v>
      </c>
      <c r="I73" s="125"/>
      <c r="J73" s="125">
        <f t="shared" si="6"/>
        <v>290706739.69000059</v>
      </c>
    </row>
    <row r="74" spans="1:10">
      <c r="A74" s="103" t="s">
        <v>294</v>
      </c>
      <c r="B74" s="103" t="s">
        <v>295</v>
      </c>
      <c r="C74" s="124">
        <v>0</v>
      </c>
      <c r="D74" s="124">
        <v>0</v>
      </c>
      <c r="E74" s="124">
        <v>111875400</v>
      </c>
      <c r="F74" s="124">
        <v>111875400</v>
      </c>
      <c r="G74" s="124">
        <v>0</v>
      </c>
      <c r="H74" s="124">
        <v>0</v>
      </c>
      <c r="I74" s="125"/>
      <c r="J74" s="125">
        <f t="shared" si="6"/>
        <v>0</v>
      </c>
    </row>
    <row r="75" spans="1:10">
      <c r="A75" s="103" t="s">
        <v>255</v>
      </c>
      <c r="B75" s="103" t="s">
        <v>256</v>
      </c>
      <c r="C75" s="124">
        <v>0</v>
      </c>
      <c r="D75" s="124">
        <v>0</v>
      </c>
      <c r="E75" s="124">
        <v>0</v>
      </c>
      <c r="F75" s="124">
        <v>27040033.18</v>
      </c>
      <c r="G75" s="124">
        <v>0</v>
      </c>
      <c r="H75" s="124">
        <v>27040033.18</v>
      </c>
      <c r="I75" s="125"/>
      <c r="J75" s="125">
        <f t="shared" si="6"/>
        <v>27040033.18</v>
      </c>
    </row>
    <row r="76" spans="1:10">
      <c r="A76" s="103" t="s">
        <v>296</v>
      </c>
      <c r="B76" s="103" t="s">
        <v>297</v>
      </c>
      <c r="C76" s="124">
        <v>0</v>
      </c>
      <c r="D76" s="124">
        <v>0</v>
      </c>
      <c r="E76" s="124">
        <v>54000</v>
      </c>
      <c r="F76" s="124">
        <v>54000</v>
      </c>
      <c r="G76" s="124">
        <v>0</v>
      </c>
      <c r="H76" s="124">
        <v>0</v>
      </c>
      <c r="I76" s="125"/>
      <c r="J76" s="125">
        <f t="shared" si="6"/>
        <v>0</v>
      </c>
    </row>
    <row r="77" spans="1:10">
      <c r="A77" s="103" t="s">
        <v>258</v>
      </c>
      <c r="B77" s="103" t="s">
        <v>259</v>
      </c>
      <c r="C77" s="124">
        <v>0</v>
      </c>
      <c r="D77" s="124">
        <v>100000000000</v>
      </c>
      <c r="E77" s="124">
        <v>0</v>
      </c>
      <c r="F77" s="124">
        <v>0</v>
      </c>
      <c r="G77" s="124">
        <v>0</v>
      </c>
      <c r="H77" s="124">
        <v>100000000000</v>
      </c>
      <c r="I77" s="125"/>
      <c r="J77" s="125">
        <f t="shared" si="6"/>
        <v>0</v>
      </c>
    </row>
    <row r="78" spans="1:10">
      <c r="A78" s="103" t="s">
        <v>261</v>
      </c>
      <c r="B78" s="103" t="s">
        <v>262</v>
      </c>
      <c r="C78" s="124">
        <v>0</v>
      </c>
      <c r="D78" s="124">
        <v>191823715.77000001</v>
      </c>
      <c r="E78" s="124">
        <v>0</v>
      </c>
      <c r="F78" s="124">
        <v>0</v>
      </c>
      <c r="G78" s="124">
        <v>0</v>
      </c>
      <c r="H78" s="124">
        <v>191823715.77000001</v>
      </c>
      <c r="I78" s="125"/>
      <c r="J78" s="125">
        <f t="shared" si="6"/>
        <v>0</v>
      </c>
    </row>
    <row r="79" spans="1:10">
      <c r="A79" s="103"/>
      <c r="B79" s="103"/>
      <c r="C79" s="126"/>
      <c r="D79" s="126"/>
      <c r="E79" s="126"/>
      <c r="F79" s="126"/>
      <c r="G79" s="126"/>
      <c r="H79" s="126"/>
      <c r="I79" s="127"/>
      <c r="J79" s="127"/>
    </row>
    <row r="80" spans="1:10">
      <c r="A80" s="103"/>
      <c r="B80" s="103"/>
      <c r="C80" s="126"/>
      <c r="D80" s="126"/>
      <c r="E80" s="126"/>
      <c r="F80" s="126"/>
      <c r="G80" s="126"/>
      <c r="H80" s="126"/>
      <c r="I80" s="127"/>
      <c r="J80" s="127"/>
    </row>
    <row r="81" spans="1:10">
      <c r="A81" s="103"/>
      <c r="B81" s="103"/>
      <c r="C81" s="117">
        <f>SUM(C5:C78)</f>
        <v>140967418848.20004</v>
      </c>
      <c r="D81" s="117">
        <f t="shared" ref="D81" si="7">SUM(D5:D78)</f>
        <v>140967418848.19998</v>
      </c>
      <c r="E81" s="117">
        <f t="shared" ref="E81:J81" si="8">SUM(E5:E78)</f>
        <v>3015176882011</v>
      </c>
      <c r="F81" s="117">
        <f t="shared" si="8"/>
        <v>3011412666460.9102</v>
      </c>
      <c r="G81" s="117">
        <f t="shared" si="8"/>
        <v>162985274009.59</v>
      </c>
      <c r="H81" s="117">
        <f t="shared" si="8"/>
        <v>159221058459.5</v>
      </c>
      <c r="I81" s="117">
        <f t="shared" si="8"/>
        <v>22055106131.340042</v>
      </c>
      <c r="J81" s="117">
        <f t="shared" si="8"/>
        <v>18290890581.300003</v>
      </c>
    </row>
    <row r="82" spans="1:10">
      <c r="A82" s="103"/>
      <c r="B82" s="103"/>
      <c r="C82" s="117"/>
      <c r="D82" s="117"/>
      <c r="E82" s="117"/>
      <c r="F82" s="117"/>
      <c r="G82" s="117"/>
      <c r="H82" s="117"/>
      <c r="I82" s="117"/>
      <c r="J82" s="117"/>
    </row>
    <row r="83" spans="1:10">
      <c r="A83" s="103"/>
      <c r="B83" s="103"/>
      <c r="C83" s="117"/>
      <c r="D83" s="117">
        <f>C81-D81</f>
        <v>0</v>
      </c>
      <c r="E83" s="117"/>
      <c r="F83" s="117">
        <f>E81-F81</f>
        <v>3764215550.0898437</v>
      </c>
      <c r="G83" s="117"/>
      <c r="H83" s="117">
        <f>G81-H81</f>
        <v>3764215550.0899963</v>
      </c>
      <c r="J83" s="117">
        <f>I81-J81</f>
        <v>3764215550.0400391</v>
      </c>
    </row>
    <row r="84" spans="1:10">
      <c r="A84" s="103"/>
      <c r="B84" s="103"/>
      <c r="C84" s="117"/>
      <c r="D84" s="117"/>
      <c r="E84" s="117"/>
      <c r="F84" s="117"/>
      <c r="G84" s="117"/>
      <c r="H84" s="117"/>
    </row>
    <row r="85" spans="1:10">
      <c r="A85" s="103"/>
      <c r="B85" s="103"/>
      <c r="C85" s="117"/>
      <c r="D85" s="117"/>
      <c r="E85" s="117"/>
      <c r="F85" s="117"/>
      <c r="G85" s="117"/>
      <c r="H85" s="117"/>
    </row>
    <row r="86" spans="1:10">
      <c r="A86" s="103" t="s">
        <v>298</v>
      </c>
      <c r="B86" s="103" t="s">
        <v>299</v>
      </c>
      <c r="C86" s="117">
        <v>0</v>
      </c>
      <c r="D86" s="117">
        <v>0</v>
      </c>
      <c r="E86" s="117">
        <v>243547020.5</v>
      </c>
      <c r="F86" s="117">
        <v>0</v>
      </c>
      <c r="G86" s="117">
        <v>243547020.5</v>
      </c>
      <c r="H86" s="117">
        <v>0</v>
      </c>
      <c r="J86" s="125">
        <f>F86-E86</f>
        <v>-243547020.5</v>
      </c>
    </row>
    <row r="87" spans="1:10">
      <c r="A87" s="103" t="s">
        <v>300</v>
      </c>
      <c r="B87" s="103" t="s">
        <v>301</v>
      </c>
      <c r="C87" s="117">
        <v>0</v>
      </c>
      <c r="D87" s="117">
        <v>0</v>
      </c>
      <c r="E87" s="117">
        <v>33168305</v>
      </c>
      <c r="F87" s="117">
        <v>0</v>
      </c>
      <c r="G87" s="117">
        <v>33168305</v>
      </c>
      <c r="H87" s="117">
        <v>0</v>
      </c>
      <c r="J87" s="125">
        <f t="shared" ref="J87:J106" si="9">F87-E87</f>
        <v>-33168305</v>
      </c>
    </row>
    <row r="88" spans="1:10">
      <c r="A88" s="103" t="s">
        <v>302</v>
      </c>
      <c r="B88" s="103" t="s">
        <v>303</v>
      </c>
      <c r="C88" s="117">
        <v>0</v>
      </c>
      <c r="D88" s="117">
        <v>0</v>
      </c>
      <c r="E88" s="117">
        <v>11148725.699999999</v>
      </c>
      <c r="F88" s="117">
        <v>0</v>
      </c>
      <c r="G88" s="117">
        <v>11148725.699999999</v>
      </c>
      <c r="H88" s="117">
        <v>0</v>
      </c>
      <c r="J88" s="125">
        <f t="shared" si="9"/>
        <v>-11148725.699999999</v>
      </c>
    </row>
    <row r="89" spans="1:10">
      <c r="A89" s="103" t="s">
        <v>304</v>
      </c>
      <c r="B89" s="103" t="s">
        <v>305</v>
      </c>
      <c r="C89" s="117">
        <v>0</v>
      </c>
      <c r="D89" s="117">
        <v>0</v>
      </c>
      <c r="E89" s="117">
        <v>1918944102</v>
      </c>
      <c r="F89" s="117">
        <v>0</v>
      </c>
      <c r="G89" s="117">
        <v>1918944102</v>
      </c>
      <c r="H89" s="117">
        <v>0</v>
      </c>
      <c r="J89" s="125">
        <f t="shared" si="9"/>
        <v>-1918944102</v>
      </c>
    </row>
    <row r="90" spans="1:10">
      <c r="A90" s="103" t="s">
        <v>306</v>
      </c>
      <c r="B90" s="103" t="s">
        <v>307</v>
      </c>
      <c r="C90" s="117">
        <v>0</v>
      </c>
      <c r="D90" s="117">
        <v>0</v>
      </c>
      <c r="E90" s="117">
        <v>23070661</v>
      </c>
      <c r="F90" s="117">
        <v>0</v>
      </c>
      <c r="G90" s="117">
        <v>23070661</v>
      </c>
      <c r="H90" s="117">
        <v>0</v>
      </c>
      <c r="J90" s="125">
        <f t="shared" si="9"/>
        <v>-23070661</v>
      </c>
    </row>
    <row r="91" spans="1:10">
      <c r="A91" s="103" t="s">
        <v>308</v>
      </c>
      <c r="B91" s="103" t="s">
        <v>309</v>
      </c>
      <c r="C91" s="117">
        <v>0</v>
      </c>
      <c r="D91" s="117">
        <v>0</v>
      </c>
      <c r="E91" s="117">
        <v>59776012</v>
      </c>
      <c r="F91" s="117">
        <v>0</v>
      </c>
      <c r="G91" s="117">
        <v>59776012</v>
      </c>
      <c r="H91" s="117">
        <v>0</v>
      </c>
      <c r="J91" s="125">
        <f t="shared" si="9"/>
        <v>-59776012</v>
      </c>
    </row>
    <row r="92" spans="1:10">
      <c r="A92" s="103" t="s">
        <v>310</v>
      </c>
      <c r="B92" s="103" t="s">
        <v>311</v>
      </c>
      <c r="C92" s="117">
        <v>0</v>
      </c>
      <c r="D92" s="117">
        <v>0</v>
      </c>
      <c r="E92" s="117">
        <v>9425000</v>
      </c>
      <c r="F92" s="117">
        <v>0</v>
      </c>
      <c r="G92" s="117">
        <v>9425000</v>
      </c>
      <c r="H92" s="117">
        <v>0</v>
      </c>
      <c r="J92" s="125">
        <f t="shared" si="9"/>
        <v>-9425000</v>
      </c>
    </row>
    <row r="93" spans="1:10">
      <c r="A93" s="103" t="s">
        <v>312</v>
      </c>
      <c r="B93" s="103" t="s">
        <v>313</v>
      </c>
      <c r="C93" s="117">
        <v>0</v>
      </c>
      <c r="D93" s="117">
        <v>0</v>
      </c>
      <c r="E93" s="117">
        <v>105624475.48000002</v>
      </c>
      <c r="F93" s="117">
        <v>0</v>
      </c>
      <c r="G93" s="117">
        <v>105624475.48000002</v>
      </c>
      <c r="H93" s="117">
        <v>0</v>
      </c>
      <c r="J93" s="125">
        <f t="shared" si="9"/>
        <v>-105624475.48000002</v>
      </c>
    </row>
    <row r="94" spans="1:10">
      <c r="A94" s="103" t="s">
        <v>314</v>
      </c>
      <c r="B94" s="103" t="s">
        <v>315</v>
      </c>
      <c r="C94" s="117">
        <v>0</v>
      </c>
      <c r="D94" s="117">
        <v>0</v>
      </c>
      <c r="E94" s="117">
        <v>4473203</v>
      </c>
      <c r="F94" s="117">
        <v>0</v>
      </c>
      <c r="G94" s="117">
        <v>4473203</v>
      </c>
      <c r="H94" s="117">
        <v>0</v>
      </c>
      <c r="J94" s="125">
        <f t="shared" si="9"/>
        <v>-4473203</v>
      </c>
    </row>
    <row r="95" spans="1:10">
      <c r="A95" s="103" t="s">
        <v>316</v>
      </c>
      <c r="B95" s="103" t="s">
        <v>317</v>
      </c>
      <c r="C95" s="117">
        <v>0</v>
      </c>
      <c r="D95" s="117">
        <v>0</v>
      </c>
      <c r="E95" s="117">
        <v>187500000</v>
      </c>
      <c r="F95" s="117">
        <v>0</v>
      </c>
      <c r="G95" s="117">
        <v>187500000</v>
      </c>
      <c r="H95" s="117">
        <v>0</v>
      </c>
      <c r="J95" s="125">
        <f t="shared" si="9"/>
        <v>-187500000</v>
      </c>
    </row>
    <row r="96" spans="1:10">
      <c r="A96" s="103" t="s">
        <v>318</v>
      </c>
      <c r="B96" s="103" t="s">
        <v>319</v>
      </c>
      <c r="C96" s="117">
        <v>0</v>
      </c>
      <c r="D96" s="117">
        <v>0</v>
      </c>
      <c r="E96" s="117">
        <v>82586000</v>
      </c>
      <c r="F96" s="117">
        <v>0</v>
      </c>
      <c r="G96" s="117">
        <v>82586000</v>
      </c>
      <c r="H96" s="117">
        <v>0</v>
      </c>
      <c r="J96" s="125">
        <f t="shared" si="9"/>
        <v>-82586000</v>
      </c>
    </row>
    <row r="97" spans="1:10">
      <c r="A97" s="103" t="s">
        <v>320</v>
      </c>
      <c r="B97" s="103" t="s">
        <v>321</v>
      </c>
      <c r="C97" s="117">
        <v>0</v>
      </c>
      <c r="D97" s="117">
        <v>0</v>
      </c>
      <c r="E97" s="117">
        <v>46695436</v>
      </c>
      <c r="F97" s="117">
        <v>642807</v>
      </c>
      <c r="G97" s="117">
        <v>46052629</v>
      </c>
      <c r="H97" s="117">
        <v>0</v>
      </c>
      <c r="J97" s="125">
        <f t="shared" si="9"/>
        <v>-46052629</v>
      </c>
    </row>
    <row r="98" spans="1:10">
      <c r="A98" s="103" t="s">
        <v>322</v>
      </c>
      <c r="B98" s="103" t="s">
        <v>323</v>
      </c>
      <c r="C98" s="117">
        <v>0</v>
      </c>
      <c r="D98" s="117">
        <v>0</v>
      </c>
      <c r="E98" s="117">
        <v>49990792</v>
      </c>
      <c r="F98" s="117">
        <v>0</v>
      </c>
      <c r="G98" s="117">
        <v>49990792</v>
      </c>
      <c r="H98" s="117">
        <v>0</v>
      </c>
      <c r="J98" s="125">
        <f t="shared" si="9"/>
        <v>-49990792</v>
      </c>
    </row>
    <row r="99" spans="1:10">
      <c r="A99" s="103" t="s">
        <v>324</v>
      </c>
      <c r="B99" s="103" t="s">
        <v>325</v>
      </c>
      <c r="C99" s="117">
        <v>0</v>
      </c>
      <c r="D99" s="117">
        <v>0</v>
      </c>
      <c r="E99" s="117">
        <v>30071433.199999999</v>
      </c>
      <c r="F99" s="117">
        <v>0</v>
      </c>
      <c r="G99" s="117">
        <v>30071433.199999999</v>
      </c>
      <c r="H99" s="117">
        <v>0</v>
      </c>
      <c r="J99" s="125">
        <f t="shared" si="9"/>
        <v>-30071433.199999999</v>
      </c>
    </row>
    <row r="100" spans="1:10">
      <c r="A100" s="103" t="s">
        <v>326</v>
      </c>
      <c r="B100" s="103" t="s">
        <v>327</v>
      </c>
      <c r="C100" s="117">
        <v>0</v>
      </c>
      <c r="D100" s="117">
        <v>0</v>
      </c>
      <c r="E100" s="117">
        <v>2950000</v>
      </c>
      <c r="F100" s="117">
        <v>0</v>
      </c>
      <c r="G100" s="117">
        <v>2950000</v>
      </c>
      <c r="H100" s="117">
        <v>0</v>
      </c>
      <c r="J100" s="125">
        <f t="shared" si="9"/>
        <v>-2950000</v>
      </c>
    </row>
    <row r="101" spans="1:10">
      <c r="A101" s="103" t="s">
        <v>328</v>
      </c>
      <c r="B101" s="103" t="s">
        <v>329</v>
      </c>
      <c r="C101" s="117">
        <v>0</v>
      </c>
      <c r="D101" s="117">
        <v>0</v>
      </c>
      <c r="E101" s="117">
        <v>13794000</v>
      </c>
      <c r="F101" s="117">
        <v>0</v>
      </c>
      <c r="G101" s="117">
        <v>13794000</v>
      </c>
      <c r="H101" s="117">
        <v>0</v>
      </c>
      <c r="J101" s="125">
        <f t="shared" si="9"/>
        <v>-13794000</v>
      </c>
    </row>
    <row r="102" spans="1:10">
      <c r="A102" s="103" t="s">
        <v>330</v>
      </c>
      <c r="B102" s="103" t="s">
        <v>331</v>
      </c>
      <c r="C102" s="117">
        <v>0</v>
      </c>
      <c r="D102" s="117">
        <v>0</v>
      </c>
      <c r="E102" s="117">
        <v>4558000</v>
      </c>
      <c r="F102" s="117">
        <v>0</v>
      </c>
      <c r="G102" s="117">
        <v>4558000</v>
      </c>
      <c r="H102" s="117">
        <v>0</v>
      </c>
      <c r="J102" s="125">
        <f t="shared" si="9"/>
        <v>-4558000</v>
      </c>
    </row>
    <row r="103" spans="1:10">
      <c r="A103" s="103" t="s">
        <v>332</v>
      </c>
      <c r="B103" s="103" t="s">
        <v>333</v>
      </c>
      <c r="C103" s="117">
        <v>0</v>
      </c>
      <c r="D103" s="117">
        <v>0</v>
      </c>
      <c r="E103" s="117">
        <v>31479000</v>
      </c>
      <c r="F103" s="117">
        <v>0</v>
      </c>
      <c r="G103" s="117">
        <v>31479000</v>
      </c>
      <c r="H103" s="117">
        <v>0</v>
      </c>
      <c r="J103" s="125">
        <f t="shared" si="9"/>
        <v>-31479000</v>
      </c>
    </row>
    <row r="104" spans="1:10">
      <c r="A104" s="103" t="s">
        <v>334</v>
      </c>
      <c r="B104" s="103" t="s">
        <v>335</v>
      </c>
      <c r="C104" s="117">
        <v>0</v>
      </c>
      <c r="D104" s="117">
        <v>0</v>
      </c>
      <c r="E104" s="117">
        <v>45000000</v>
      </c>
      <c r="F104" s="117">
        <v>0</v>
      </c>
      <c r="G104" s="117">
        <v>45000000</v>
      </c>
      <c r="H104" s="117">
        <v>0</v>
      </c>
      <c r="J104" s="125">
        <f t="shared" si="9"/>
        <v>-45000000</v>
      </c>
    </row>
    <row r="105" spans="1:10">
      <c r="A105" s="103" t="s">
        <v>336</v>
      </c>
      <c r="B105" s="103" t="s">
        <v>337</v>
      </c>
      <c r="C105" s="117">
        <v>0</v>
      </c>
      <c r="D105" s="117">
        <v>0</v>
      </c>
      <c r="E105" s="117">
        <v>31772000</v>
      </c>
      <c r="F105" s="117">
        <v>0</v>
      </c>
      <c r="G105" s="117">
        <v>31772000</v>
      </c>
      <c r="H105" s="117">
        <v>0</v>
      </c>
      <c r="J105" s="125">
        <f t="shared" si="9"/>
        <v>-31772000</v>
      </c>
    </row>
    <row r="106" spans="1:10">
      <c r="A106" s="103" t="s">
        <v>338</v>
      </c>
      <c r="B106" s="103" t="s">
        <v>339</v>
      </c>
      <c r="C106" s="117">
        <v>0</v>
      </c>
      <c r="D106" s="117">
        <v>0</v>
      </c>
      <c r="E106" s="117">
        <v>1234000</v>
      </c>
      <c r="F106" s="117">
        <v>0</v>
      </c>
      <c r="G106" s="117">
        <v>1234000</v>
      </c>
      <c r="H106" s="117">
        <v>0</v>
      </c>
      <c r="J106" s="125">
        <f t="shared" si="9"/>
        <v>-1234000</v>
      </c>
    </row>
    <row r="107" spans="1:10">
      <c r="A107" s="103" t="s">
        <v>340</v>
      </c>
      <c r="B107" s="103" t="s">
        <v>341</v>
      </c>
      <c r="C107" s="117">
        <v>0</v>
      </c>
      <c r="D107" s="117">
        <v>0</v>
      </c>
      <c r="E107" s="117">
        <v>76636728</v>
      </c>
      <c r="F107" s="117">
        <v>0</v>
      </c>
      <c r="G107" s="117">
        <v>76636728</v>
      </c>
      <c r="H107" s="117">
        <v>0</v>
      </c>
      <c r="J107" s="125">
        <f t="shared" ref="J107:J150" si="10">F107-E107</f>
        <v>-76636728</v>
      </c>
    </row>
    <row r="108" spans="1:10">
      <c r="A108" s="103" t="s">
        <v>342</v>
      </c>
      <c r="B108" s="103" t="s">
        <v>343</v>
      </c>
      <c r="C108" s="117">
        <v>0</v>
      </c>
      <c r="D108" s="117">
        <v>0</v>
      </c>
      <c r="E108" s="117">
        <v>498368029.47999984</v>
      </c>
      <c r="F108" s="117">
        <v>16904092.920000002</v>
      </c>
      <c r="G108" s="117">
        <v>481463936.55999982</v>
      </c>
      <c r="H108" s="117">
        <v>0</v>
      </c>
      <c r="J108" s="125">
        <f t="shared" si="10"/>
        <v>-481463936.55999982</v>
      </c>
    </row>
    <row r="109" spans="1:10">
      <c r="A109" s="103" t="s">
        <v>344</v>
      </c>
      <c r="B109" s="103" t="s">
        <v>345</v>
      </c>
      <c r="C109" s="117">
        <v>0</v>
      </c>
      <c r="D109" s="117">
        <v>0</v>
      </c>
      <c r="E109" s="117">
        <v>425000</v>
      </c>
      <c r="F109" s="117">
        <v>0</v>
      </c>
      <c r="G109" s="117">
        <v>425000</v>
      </c>
      <c r="H109" s="117">
        <v>0</v>
      </c>
      <c r="J109" s="125">
        <f t="shared" si="10"/>
        <v>-425000</v>
      </c>
    </row>
    <row r="110" spans="1:10">
      <c r="A110" s="103" t="s">
        <v>346</v>
      </c>
      <c r="B110" s="103" t="s">
        <v>347</v>
      </c>
      <c r="C110" s="117">
        <v>0</v>
      </c>
      <c r="D110" s="117">
        <v>0</v>
      </c>
      <c r="E110" s="117">
        <v>12295050</v>
      </c>
      <c r="F110" s="117">
        <v>0</v>
      </c>
      <c r="G110" s="117">
        <v>12295050</v>
      </c>
      <c r="H110" s="117">
        <v>0</v>
      </c>
      <c r="J110" s="125">
        <f t="shared" si="10"/>
        <v>-12295050</v>
      </c>
    </row>
    <row r="111" spans="1:10">
      <c r="A111" s="103" t="s">
        <v>348</v>
      </c>
      <c r="B111" s="103" t="s">
        <v>349</v>
      </c>
      <c r="C111" s="117">
        <v>0</v>
      </c>
      <c r="D111" s="117">
        <v>0</v>
      </c>
      <c r="E111" s="117">
        <v>117237280</v>
      </c>
      <c r="F111" s="117">
        <v>0</v>
      </c>
      <c r="G111" s="117">
        <v>117237280</v>
      </c>
      <c r="H111" s="117">
        <v>0</v>
      </c>
      <c r="J111" s="125">
        <f t="shared" si="10"/>
        <v>-117237280</v>
      </c>
    </row>
    <row r="112" spans="1:10">
      <c r="A112" s="103" t="s">
        <v>350</v>
      </c>
      <c r="B112" s="103" t="s">
        <v>351</v>
      </c>
      <c r="C112" s="117">
        <v>0</v>
      </c>
      <c r="D112" s="117">
        <v>0</v>
      </c>
      <c r="E112" s="117">
        <v>283071818.51999998</v>
      </c>
      <c r="F112" s="117">
        <v>28050</v>
      </c>
      <c r="G112" s="117">
        <v>283043768.51999998</v>
      </c>
      <c r="H112" s="117">
        <v>0</v>
      </c>
      <c r="J112" s="125">
        <f t="shared" si="10"/>
        <v>-283043768.51999998</v>
      </c>
    </row>
    <row r="113" spans="1:10">
      <c r="A113" s="103" t="s">
        <v>352</v>
      </c>
      <c r="B113" s="103" t="s">
        <v>353</v>
      </c>
      <c r="C113" s="117">
        <v>0</v>
      </c>
      <c r="D113" s="117">
        <v>0</v>
      </c>
      <c r="E113" s="117">
        <v>188714538.34999999</v>
      </c>
      <c r="F113" s="117">
        <v>18700</v>
      </c>
      <c r="G113" s="117">
        <v>188695838.34999999</v>
      </c>
      <c r="H113" s="117">
        <v>0</v>
      </c>
      <c r="J113" s="125">
        <f t="shared" si="10"/>
        <v>-188695838.34999999</v>
      </c>
    </row>
    <row r="114" spans="1:10">
      <c r="A114" s="103" t="s">
        <v>354</v>
      </c>
      <c r="B114" s="103" t="s">
        <v>355</v>
      </c>
      <c r="C114" s="117">
        <v>0</v>
      </c>
      <c r="D114" s="117">
        <v>0</v>
      </c>
      <c r="E114" s="117">
        <v>188714538.34999999</v>
      </c>
      <c r="F114" s="117">
        <v>18700</v>
      </c>
      <c r="G114" s="117">
        <v>188695838.34999999</v>
      </c>
      <c r="H114" s="117">
        <v>0</v>
      </c>
      <c r="J114" s="125">
        <f t="shared" si="10"/>
        <v>-188695838.34999999</v>
      </c>
    </row>
    <row r="115" spans="1:10">
      <c r="A115" s="103" t="s">
        <v>356</v>
      </c>
      <c r="B115" s="103" t="s">
        <v>357</v>
      </c>
      <c r="C115" s="117">
        <v>0</v>
      </c>
      <c r="D115" s="117">
        <v>0</v>
      </c>
      <c r="E115" s="117">
        <v>260035807</v>
      </c>
      <c r="F115" s="117">
        <v>260035807</v>
      </c>
      <c r="G115" s="117">
        <v>0</v>
      </c>
      <c r="H115" s="117">
        <v>0</v>
      </c>
      <c r="J115" s="125">
        <f t="shared" si="10"/>
        <v>0</v>
      </c>
    </row>
    <row r="116" spans="1:10">
      <c r="A116" s="103" t="s">
        <v>358</v>
      </c>
      <c r="B116" s="103" t="s">
        <v>359</v>
      </c>
      <c r="C116" s="117">
        <v>0</v>
      </c>
      <c r="D116" s="117">
        <v>0</v>
      </c>
      <c r="E116" s="117">
        <v>378260192.69999999</v>
      </c>
      <c r="F116" s="117">
        <v>873265</v>
      </c>
      <c r="G116" s="117">
        <v>377386927.69999999</v>
      </c>
      <c r="H116" s="117">
        <v>0</v>
      </c>
      <c r="J116" s="125">
        <f t="shared" si="10"/>
        <v>-377386927.69999999</v>
      </c>
    </row>
    <row r="117" spans="1:10">
      <c r="A117" s="103" t="s">
        <v>360</v>
      </c>
      <c r="B117" s="103" t="s">
        <v>361</v>
      </c>
      <c r="C117" s="117">
        <v>0</v>
      </c>
      <c r="D117" s="117">
        <v>0</v>
      </c>
      <c r="E117" s="117">
        <v>17871946.5</v>
      </c>
      <c r="F117" s="117">
        <v>0</v>
      </c>
      <c r="G117" s="117">
        <v>17871946.5</v>
      </c>
      <c r="H117" s="117">
        <v>0</v>
      </c>
      <c r="J117" s="125">
        <f t="shared" si="10"/>
        <v>-17871946.5</v>
      </c>
    </row>
    <row r="118" spans="1:10">
      <c r="A118" s="103" t="s">
        <v>362</v>
      </c>
      <c r="B118" s="103" t="s">
        <v>363</v>
      </c>
      <c r="C118" s="117">
        <v>0</v>
      </c>
      <c r="D118" s="117">
        <v>0</v>
      </c>
      <c r="E118" s="117">
        <v>41123433150.629997</v>
      </c>
      <c r="F118" s="117">
        <v>66629971.5</v>
      </c>
      <c r="G118" s="117">
        <v>41056803179.129997</v>
      </c>
      <c r="H118" s="117">
        <v>0</v>
      </c>
      <c r="J118" s="125">
        <f t="shared" si="10"/>
        <v>-41056803179.129997</v>
      </c>
    </row>
    <row r="119" spans="1:10">
      <c r="A119" s="103" t="s">
        <v>364</v>
      </c>
      <c r="B119" s="103" t="s">
        <v>365</v>
      </c>
      <c r="C119" s="117">
        <v>0</v>
      </c>
      <c r="D119" s="117">
        <v>0</v>
      </c>
      <c r="E119" s="117">
        <v>119347900</v>
      </c>
      <c r="F119" s="117">
        <v>0</v>
      </c>
      <c r="G119" s="117">
        <v>119347900</v>
      </c>
      <c r="H119" s="117">
        <v>0</v>
      </c>
      <c r="J119" s="125">
        <f t="shared" si="10"/>
        <v>-119347900</v>
      </c>
    </row>
    <row r="120" spans="1:10">
      <c r="A120" s="103" t="s">
        <v>366</v>
      </c>
      <c r="B120" s="103" t="s">
        <v>367</v>
      </c>
      <c r="C120" s="117">
        <v>0</v>
      </c>
      <c r="D120" s="117">
        <v>0</v>
      </c>
      <c r="E120" s="117">
        <v>90359440</v>
      </c>
      <c r="F120" s="117">
        <v>0</v>
      </c>
      <c r="G120" s="117">
        <v>90359440</v>
      </c>
      <c r="H120" s="117">
        <v>0</v>
      </c>
      <c r="J120" s="125">
        <f t="shared" si="10"/>
        <v>-90359440</v>
      </c>
    </row>
    <row r="121" spans="1:10">
      <c r="A121" s="103" t="s">
        <v>368</v>
      </c>
      <c r="B121" s="103" t="s">
        <v>369</v>
      </c>
      <c r="C121" s="117">
        <v>0</v>
      </c>
      <c r="D121" s="117">
        <v>0</v>
      </c>
      <c r="E121" s="117">
        <v>27040033.18</v>
      </c>
      <c r="F121" s="117">
        <v>0</v>
      </c>
      <c r="G121" s="117">
        <v>27040033.18</v>
      </c>
      <c r="H121" s="117">
        <v>0</v>
      </c>
      <c r="J121" s="125">
        <f t="shared" si="10"/>
        <v>-27040033.18</v>
      </c>
    </row>
    <row r="122" spans="1:10">
      <c r="A122" s="103" t="s">
        <v>370</v>
      </c>
      <c r="B122" s="103" t="s">
        <v>371</v>
      </c>
      <c r="C122" s="117">
        <v>0</v>
      </c>
      <c r="D122" s="117">
        <v>0</v>
      </c>
      <c r="E122" s="117">
        <v>739132800</v>
      </c>
      <c r="F122" s="117">
        <v>40206720</v>
      </c>
      <c r="G122" s="117">
        <v>698926080</v>
      </c>
      <c r="H122" s="117">
        <v>0</v>
      </c>
      <c r="J122" s="125">
        <f t="shared" si="10"/>
        <v>-698926080</v>
      </c>
    </row>
    <row r="123" spans="1:10">
      <c r="A123" s="103" t="s">
        <v>372</v>
      </c>
      <c r="B123" s="103" t="s">
        <v>373</v>
      </c>
      <c r="C123" s="117">
        <v>0</v>
      </c>
      <c r="D123" s="117">
        <v>0</v>
      </c>
      <c r="E123" s="117">
        <v>20670000</v>
      </c>
      <c r="F123" s="117">
        <v>0</v>
      </c>
      <c r="G123" s="117">
        <v>20670000</v>
      </c>
      <c r="H123" s="117">
        <v>0</v>
      </c>
      <c r="J123" s="125">
        <f t="shared" si="10"/>
        <v>-20670000</v>
      </c>
    </row>
    <row r="124" spans="1:10">
      <c r="A124" s="103" t="s">
        <v>374</v>
      </c>
      <c r="B124" s="103" t="s">
        <v>375</v>
      </c>
      <c r="C124" s="117">
        <v>0</v>
      </c>
      <c r="D124" s="117">
        <v>0</v>
      </c>
      <c r="E124" s="117">
        <v>111875400</v>
      </c>
      <c r="F124" s="117">
        <v>0</v>
      </c>
      <c r="G124" s="117">
        <v>111875400</v>
      </c>
      <c r="H124" s="117">
        <v>0</v>
      </c>
      <c r="J124" s="125">
        <f t="shared" si="10"/>
        <v>-111875400</v>
      </c>
    </row>
    <row r="125" spans="1:10">
      <c r="A125" s="103" t="s">
        <v>376</v>
      </c>
      <c r="B125" s="103" t="s">
        <v>377</v>
      </c>
      <c r="C125" s="117">
        <v>0</v>
      </c>
      <c r="D125" s="117">
        <v>0</v>
      </c>
      <c r="E125" s="117">
        <v>61518000</v>
      </c>
      <c r="F125" s="117">
        <v>511000</v>
      </c>
      <c r="G125" s="117">
        <v>61007000</v>
      </c>
      <c r="H125" s="117">
        <v>0</v>
      </c>
      <c r="J125" s="125">
        <f t="shared" si="10"/>
        <v>-61007000</v>
      </c>
    </row>
    <row r="126" spans="1:10">
      <c r="A126" s="103" t="s">
        <v>378</v>
      </c>
      <c r="B126" s="103" t="s">
        <v>379</v>
      </c>
      <c r="C126" s="117">
        <v>0</v>
      </c>
      <c r="D126" s="117">
        <v>0</v>
      </c>
      <c r="E126" s="117">
        <v>64473000</v>
      </c>
      <c r="F126" s="117">
        <v>695000</v>
      </c>
      <c r="G126" s="117">
        <v>63778000</v>
      </c>
      <c r="H126" s="117">
        <v>0</v>
      </c>
      <c r="J126" s="125">
        <f t="shared" si="10"/>
        <v>-63778000</v>
      </c>
    </row>
    <row r="127" spans="1:10">
      <c r="A127" s="103" t="s">
        <v>380</v>
      </c>
      <c r="B127" s="103" t="s">
        <v>381</v>
      </c>
      <c r="C127" s="117">
        <v>0</v>
      </c>
      <c r="D127" s="117">
        <v>0</v>
      </c>
      <c r="E127" s="117">
        <v>1356318422.3399999</v>
      </c>
      <c r="F127" s="117">
        <v>1263138909.5</v>
      </c>
      <c r="G127" s="117">
        <v>93179512.839999855</v>
      </c>
      <c r="H127" s="117">
        <v>0</v>
      </c>
      <c r="J127" s="125">
        <f t="shared" si="10"/>
        <v>-93179512.839999914</v>
      </c>
    </row>
    <row r="128" spans="1:10">
      <c r="A128" s="103" t="s">
        <v>382</v>
      </c>
      <c r="B128" s="103" t="s">
        <v>383</v>
      </c>
      <c r="C128" s="117">
        <v>0</v>
      </c>
      <c r="D128" s="117">
        <v>0</v>
      </c>
      <c r="E128" s="117">
        <v>3688560.4</v>
      </c>
      <c r="F128" s="117">
        <v>0</v>
      </c>
      <c r="G128" s="117">
        <v>3688560.4</v>
      </c>
      <c r="H128" s="117">
        <v>0</v>
      </c>
      <c r="J128" s="125">
        <f t="shared" si="10"/>
        <v>-3688560.4</v>
      </c>
    </row>
    <row r="129" spans="1:10">
      <c r="A129" s="103" t="s">
        <v>384</v>
      </c>
      <c r="B129" s="103" t="s">
        <v>385</v>
      </c>
      <c r="C129" s="117">
        <v>0</v>
      </c>
      <c r="D129" s="117">
        <v>0</v>
      </c>
      <c r="E129" s="117">
        <v>927890415.04999995</v>
      </c>
      <c r="F129" s="117">
        <v>764374014.04999995</v>
      </c>
      <c r="G129" s="117">
        <v>163516401</v>
      </c>
      <c r="H129" s="117">
        <v>0</v>
      </c>
      <c r="J129" s="125">
        <f t="shared" si="10"/>
        <v>-163516401</v>
      </c>
    </row>
    <row r="130" spans="1:10">
      <c r="A130" s="103" t="s">
        <v>386</v>
      </c>
      <c r="B130" s="103" t="s">
        <v>387</v>
      </c>
      <c r="C130" s="117">
        <v>0</v>
      </c>
      <c r="D130" s="117">
        <v>0</v>
      </c>
      <c r="E130" s="117">
        <v>271695632.84999996</v>
      </c>
      <c r="F130" s="117">
        <v>145214.20000000001</v>
      </c>
      <c r="G130" s="117">
        <v>271550418.64999998</v>
      </c>
      <c r="H130" s="117">
        <v>0</v>
      </c>
      <c r="J130" s="125">
        <f t="shared" si="10"/>
        <v>-271550418.64999998</v>
      </c>
    </row>
    <row r="131" spans="1:10">
      <c r="A131" s="103" t="s">
        <v>388</v>
      </c>
      <c r="B131" s="103" t="s">
        <v>389</v>
      </c>
      <c r="C131" s="117">
        <v>0</v>
      </c>
      <c r="D131" s="117">
        <v>0</v>
      </c>
      <c r="E131" s="117">
        <v>5594606.5499999998</v>
      </c>
      <c r="F131" s="117">
        <v>0</v>
      </c>
      <c r="G131" s="117">
        <v>5594606.5499999998</v>
      </c>
      <c r="H131" s="117">
        <v>0</v>
      </c>
      <c r="J131" s="125">
        <f t="shared" si="10"/>
        <v>-5594606.5499999998</v>
      </c>
    </row>
    <row r="132" spans="1:10">
      <c r="A132" s="103" t="s">
        <v>390</v>
      </c>
      <c r="B132" s="103" t="s">
        <v>391</v>
      </c>
      <c r="C132" s="117">
        <v>0</v>
      </c>
      <c r="D132" s="117">
        <v>0</v>
      </c>
      <c r="E132" s="117">
        <v>4879003.04</v>
      </c>
      <c r="F132" s="117">
        <v>1150073.03</v>
      </c>
      <c r="G132" s="117">
        <v>3728930.01</v>
      </c>
      <c r="H132" s="117">
        <v>0</v>
      </c>
      <c r="J132" s="125">
        <f t="shared" si="10"/>
        <v>-3728930.01</v>
      </c>
    </row>
    <row r="133" spans="1:10">
      <c r="A133" s="103" t="s">
        <v>392</v>
      </c>
      <c r="B133" s="103" t="s">
        <v>393</v>
      </c>
      <c r="C133" s="117">
        <v>0</v>
      </c>
      <c r="D133" s="117">
        <v>0</v>
      </c>
      <c r="E133" s="117">
        <v>34084178.850000001</v>
      </c>
      <c r="F133" s="117">
        <v>120000</v>
      </c>
      <c r="G133" s="117">
        <v>33964178.850000001</v>
      </c>
      <c r="H133" s="117">
        <v>0</v>
      </c>
      <c r="J133" s="125">
        <f t="shared" si="10"/>
        <v>-33964178.850000001</v>
      </c>
    </row>
    <row r="134" spans="1:10">
      <c r="A134" s="103" t="s">
        <v>394</v>
      </c>
      <c r="B134" s="103" t="s">
        <v>395</v>
      </c>
      <c r="C134" s="117">
        <v>0</v>
      </c>
      <c r="D134" s="117">
        <v>0</v>
      </c>
      <c r="E134" s="117">
        <v>33621600</v>
      </c>
      <c r="F134" s="117">
        <v>0</v>
      </c>
      <c r="G134" s="117">
        <v>33621600</v>
      </c>
      <c r="H134" s="117">
        <v>0</v>
      </c>
      <c r="J134" s="125">
        <f t="shared" si="10"/>
        <v>-33621600</v>
      </c>
    </row>
    <row r="135" spans="1:10">
      <c r="A135" s="103" t="s">
        <v>396</v>
      </c>
      <c r="B135" s="103" t="s">
        <v>397</v>
      </c>
      <c r="C135" s="117">
        <v>0</v>
      </c>
      <c r="D135" s="117">
        <v>0</v>
      </c>
      <c r="E135" s="117">
        <v>22421438.170000002</v>
      </c>
      <c r="F135" s="117">
        <v>0</v>
      </c>
      <c r="G135" s="117">
        <v>22421438.170000002</v>
      </c>
      <c r="H135" s="117">
        <v>0</v>
      </c>
      <c r="J135" s="125">
        <f t="shared" si="10"/>
        <v>-22421438.170000002</v>
      </c>
    </row>
    <row r="136" spans="1:10">
      <c r="A136" s="103" t="s">
        <v>398</v>
      </c>
      <c r="B136" s="103" t="s">
        <v>399</v>
      </c>
      <c r="C136" s="117">
        <v>0</v>
      </c>
      <c r="D136" s="117">
        <v>0</v>
      </c>
      <c r="E136" s="117">
        <v>6588400</v>
      </c>
      <c r="F136" s="117">
        <v>0</v>
      </c>
      <c r="G136" s="117">
        <v>6588400</v>
      </c>
      <c r="H136" s="117">
        <v>0</v>
      </c>
      <c r="J136" s="125">
        <f t="shared" si="10"/>
        <v>-6588400</v>
      </c>
    </row>
    <row r="137" spans="1:10">
      <c r="A137" s="103" t="s">
        <v>400</v>
      </c>
      <c r="B137" s="103" t="s">
        <v>401</v>
      </c>
      <c r="C137" s="117">
        <v>0</v>
      </c>
      <c r="D137" s="117">
        <v>0</v>
      </c>
      <c r="E137" s="117">
        <v>4200000</v>
      </c>
      <c r="F137" s="117">
        <v>0</v>
      </c>
      <c r="G137" s="117">
        <v>4200000</v>
      </c>
      <c r="H137" s="117">
        <v>0</v>
      </c>
      <c r="J137" s="125">
        <f t="shared" si="10"/>
        <v>-4200000</v>
      </c>
    </row>
    <row r="138" spans="1:10">
      <c r="A138" s="103" t="s">
        <v>402</v>
      </c>
      <c r="B138" s="103" t="s">
        <v>403</v>
      </c>
      <c r="C138" s="117">
        <v>0</v>
      </c>
      <c r="D138" s="117">
        <v>0</v>
      </c>
      <c r="E138" s="117">
        <v>76310610.13000001</v>
      </c>
      <c r="F138" s="117">
        <v>3184500</v>
      </c>
      <c r="G138" s="117">
        <v>73126110.13000001</v>
      </c>
      <c r="H138" s="117">
        <v>0</v>
      </c>
      <c r="J138" s="125">
        <f t="shared" si="10"/>
        <v>-73126110.13000001</v>
      </c>
    </row>
    <row r="139" spans="1:10">
      <c r="A139" s="103" t="s">
        <v>404</v>
      </c>
      <c r="B139" s="103" t="s">
        <v>405</v>
      </c>
      <c r="C139" s="117">
        <v>0</v>
      </c>
      <c r="D139" s="117">
        <v>0</v>
      </c>
      <c r="E139" s="117">
        <v>1778000</v>
      </c>
      <c r="F139" s="117">
        <v>0</v>
      </c>
      <c r="G139" s="117">
        <v>1778000</v>
      </c>
      <c r="H139" s="117">
        <v>0</v>
      </c>
      <c r="J139" s="125">
        <f t="shared" si="10"/>
        <v>-1778000</v>
      </c>
    </row>
    <row r="140" spans="1:10">
      <c r="A140" s="103" t="s">
        <v>406</v>
      </c>
      <c r="B140" s="103" t="s">
        <v>407</v>
      </c>
      <c r="C140" s="117">
        <v>0</v>
      </c>
      <c r="D140" s="117">
        <v>0</v>
      </c>
      <c r="E140" s="117">
        <v>29094624</v>
      </c>
      <c r="F140" s="117">
        <v>7913637</v>
      </c>
      <c r="G140" s="117">
        <v>21180987</v>
      </c>
      <c r="H140" s="117">
        <v>0</v>
      </c>
      <c r="J140" s="125">
        <f t="shared" si="10"/>
        <v>-21180987</v>
      </c>
    </row>
    <row r="141" spans="1:10">
      <c r="A141" s="103" t="s">
        <v>408</v>
      </c>
      <c r="B141" s="103" t="s">
        <v>409</v>
      </c>
      <c r="C141" s="117">
        <v>0</v>
      </c>
      <c r="D141" s="117">
        <v>0</v>
      </c>
      <c r="E141" s="117">
        <v>46372061.969999999</v>
      </c>
      <c r="F141" s="117">
        <v>6854284.7999999998</v>
      </c>
      <c r="G141" s="117">
        <v>39517777.170000002</v>
      </c>
      <c r="H141" s="117">
        <v>0</v>
      </c>
      <c r="J141" s="125">
        <f t="shared" si="10"/>
        <v>-39517777.170000002</v>
      </c>
    </row>
    <row r="142" spans="1:10">
      <c r="A142" s="103" t="s">
        <v>410</v>
      </c>
      <c r="B142" s="103" t="s">
        <v>411</v>
      </c>
      <c r="C142" s="117">
        <v>0</v>
      </c>
      <c r="D142" s="117">
        <v>0</v>
      </c>
      <c r="E142" s="117">
        <v>146150000</v>
      </c>
      <c r="F142" s="117">
        <v>6660000</v>
      </c>
      <c r="G142" s="117">
        <v>139490000</v>
      </c>
      <c r="H142" s="117">
        <v>0</v>
      </c>
      <c r="J142" s="125">
        <f t="shared" si="10"/>
        <v>-139490000</v>
      </c>
    </row>
    <row r="143" spans="1:10">
      <c r="A143" s="103" t="s">
        <v>412</v>
      </c>
      <c r="B143" s="103" t="s">
        <v>413</v>
      </c>
      <c r="C143" s="117">
        <v>0</v>
      </c>
      <c r="D143" s="117">
        <v>0</v>
      </c>
      <c r="E143" s="117">
        <v>8255500</v>
      </c>
      <c r="F143" s="117">
        <v>0</v>
      </c>
      <c r="G143" s="117">
        <v>8255500</v>
      </c>
      <c r="H143" s="117">
        <v>0</v>
      </c>
      <c r="J143" s="125">
        <f t="shared" si="10"/>
        <v>-8255500</v>
      </c>
    </row>
    <row r="144" spans="1:10">
      <c r="A144" s="103" t="s">
        <v>414</v>
      </c>
      <c r="B144" s="103" t="s">
        <v>415</v>
      </c>
      <c r="C144" s="117">
        <v>0</v>
      </c>
      <c r="D144" s="117">
        <v>0</v>
      </c>
      <c r="E144" s="117">
        <v>160720</v>
      </c>
      <c r="F144" s="117">
        <v>0</v>
      </c>
      <c r="G144" s="117">
        <v>160720</v>
      </c>
      <c r="H144" s="117">
        <v>0</v>
      </c>
      <c r="J144" s="125">
        <f t="shared" si="10"/>
        <v>-160720</v>
      </c>
    </row>
    <row r="145" spans="1:10">
      <c r="A145" s="103" t="s">
        <v>416</v>
      </c>
      <c r="B145" s="103" t="s">
        <v>417</v>
      </c>
      <c r="C145" s="117">
        <v>0</v>
      </c>
      <c r="D145" s="117">
        <v>0</v>
      </c>
      <c r="E145" s="117">
        <v>300000</v>
      </c>
      <c r="F145" s="117">
        <v>0</v>
      </c>
      <c r="G145" s="117">
        <v>300000</v>
      </c>
      <c r="H145" s="117">
        <v>0</v>
      </c>
      <c r="J145" s="125">
        <f t="shared" si="10"/>
        <v>-300000</v>
      </c>
    </row>
    <row r="146" spans="1:10">
      <c r="A146" s="103" t="s">
        <v>418</v>
      </c>
      <c r="B146" s="103" t="s">
        <v>419</v>
      </c>
      <c r="C146" s="117">
        <v>0</v>
      </c>
      <c r="D146" s="117">
        <v>0</v>
      </c>
      <c r="E146" s="117">
        <v>10398961</v>
      </c>
      <c r="F146" s="117">
        <v>0</v>
      </c>
      <c r="G146" s="117">
        <v>10398961</v>
      </c>
      <c r="H146" s="117">
        <v>0</v>
      </c>
      <c r="J146" s="125">
        <f t="shared" si="10"/>
        <v>-10398961</v>
      </c>
    </row>
    <row r="147" spans="1:10">
      <c r="A147" s="103" t="s">
        <v>420</v>
      </c>
      <c r="B147" s="103" t="s">
        <v>421</v>
      </c>
      <c r="C147" s="117">
        <v>0</v>
      </c>
      <c r="D147" s="117">
        <v>0</v>
      </c>
      <c r="E147" s="117">
        <v>91681744.160000026</v>
      </c>
      <c r="F147" s="117">
        <v>11385971.9</v>
      </c>
      <c r="G147" s="117">
        <v>80295772.26000002</v>
      </c>
      <c r="H147" s="117">
        <v>0</v>
      </c>
      <c r="J147" s="125">
        <f t="shared" si="10"/>
        <v>-80295772.26000002</v>
      </c>
    </row>
    <row r="148" spans="1:10">
      <c r="A148" s="103" t="s">
        <v>422</v>
      </c>
      <c r="B148" s="103" t="s">
        <v>423</v>
      </c>
      <c r="C148" s="117">
        <v>0</v>
      </c>
      <c r="D148" s="117">
        <v>0</v>
      </c>
      <c r="E148" s="117">
        <v>300000</v>
      </c>
      <c r="F148" s="117">
        <v>0</v>
      </c>
      <c r="G148" s="117">
        <v>300000</v>
      </c>
      <c r="H148" s="117">
        <v>0</v>
      </c>
      <c r="J148" s="125">
        <f t="shared" si="10"/>
        <v>-300000</v>
      </c>
    </row>
    <row r="149" spans="1:10">
      <c r="A149" s="103" t="s">
        <v>424</v>
      </c>
      <c r="B149" s="103" t="s">
        <v>425</v>
      </c>
      <c r="C149" s="117">
        <v>0</v>
      </c>
      <c r="D149" s="117">
        <v>0</v>
      </c>
      <c r="E149" s="117">
        <v>77820768.969999999</v>
      </c>
      <c r="F149" s="117">
        <v>0</v>
      </c>
      <c r="G149" s="117">
        <v>77820768.969999999</v>
      </c>
      <c r="H149" s="117">
        <v>0</v>
      </c>
      <c r="J149" s="125">
        <f t="shared" si="10"/>
        <v>-77820768.969999999</v>
      </c>
    </row>
    <row r="150" spans="1:10">
      <c r="A150" s="103" t="s">
        <v>426</v>
      </c>
      <c r="B150" s="103" t="s">
        <v>427</v>
      </c>
      <c r="C150" s="117">
        <v>0</v>
      </c>
      <c r="D150" s="117">
        <v>0</v>
      </c>
      <c r="E150" s="117">
        <v>9983400</v>
      </c>
      <c r="F150" s="117">
        <v>0</v>
      </c>
      <c r="G150" s="117">
        <v>9983400</v>
      </c>
      <c r="H150" s="117">
        <v>0</v>
      </c>
      <c r="J150" s="125">
        <f t="shared" si="10"/>
        <v>-9983400</v>
      </c>
    </row>
    <row r="151" spans="1:10">
      <c r="A151" s="103" t="s">
        <v>428</v>
      </c>
      <c r="B151" s="103" t="s">
        <v>429</v>
      </c>
      <c r="C151" s="117">
        <v>0</v>
      </c>
      <c r="D151" s="117">
        <v>0</v>
      </c>
      <c r="E151" s="117">
        <v>17332000</v>
      </c>
      <c r="F151" s="117">
        <v>0</v>
      </c>
      <c r="G151" s="117">
        <v>17332000</v>
      </c>
      <c r="H151" s="117">
        <v>0</v>
      </c>
      <c r="J151" s="125">
        <f t="shared" ref="J151:J169" si="11">F151-E151</f>
        <v>-17332000</v>
      </c>
    </row>
    <row r="152" spans="1:10">
      <c r="A152" s="103" t="s">
        <v>430</v>
      </c>
      <c r="B152" s="103" t="s">
        <v>431</v>
      </c>
      <c r="C152" s="117">
        <v>0</v>
      </c>
      <c r="D152" s="117">
        <v>0</v>
      </c>
      <c r="E152" s="117">
        <v>57252190.400000006</v>
      </c>
      <c r="F152" s="117">
        <v>0</v>
      </c>
      <c r="G152" s="117">
        <v>57252190.400000006</v>
      </c>
      <c r="H152" s="117">
        <v>0</v>
      </c>
      <c r="J152" s="125">
        <f t="shared" si="11"/>
        <v>-57252190.400000006</v>
      </c>
    </row>
    <row r="153" spans="1:10">
      <c r="A153" s="103" t="s">
        <v>432</v>
      </c>
      <c r="B153" s="103" t="s">
        <v>433</v>
      </c>
      <c r="C153" s="117">
        <v>0</v>
      </c>
      <c r="D153" s="117">
        <v>0</v>
      </c>
      <c r="E153" s="117">
        <v>646173449.01999998</v>
      </c>
      <c r="F153" s="117">
        <v>439399002.91000003</v>
      </c>
      <c r="G153" s="117">
        <v>206774446.11000001</v>
      </c>
      <c r="H153" s="117">
        <v>0</v>
      </c>
      <c r="J153" s="125">
        <f t="shared" si="11"/>
        <v>-206774446.10999995</v>
      </c>
    </row>
    <row r="154" spans="1:10">
      <c r="A154" s="103" t="s">
        <v>434</v>
      </c>
      <c r="B154" s="103" t="s">
        <v>435</v>
      </c>
      <c r="C154" s="117">
        <v>0</v>
      </c>
      <c r="D154" s="117">
        <v>0</v>
      </c>
      <c r="E154" s="117">
        <v>24663525</v>
      </c>
      <c r="F154" s="117">
        <v>0</v>
      </c>
      <c r="G154" s="117">
        <v>24663525</v>
      </c>
      <c r="H154" s="117">
        <v>0</v>
      </c>
      <c r="J154" s="125">
        <f t="shared" si="11"/>
        <v>-24663525</v>
      </c>
    </row>
    <row r="155" spans="1:10">
      <c r="A155" s="103" t="s">
        <v>436</v>
      </c>
      <c r="B155" s="103" t="s">
        <v>437</v>
      </c>
      <c r="C155" s="117">
        <v>0</v>
      </c>
      <c r="D155" s="117">
        <v>0</v>
      </c>
      <c r="E155" s="117">
        <v>10885548.84</v>
      </c>
      <c r="F155" s="117">
        <v>0</v>
      </c>
      <c r="G155" s="117">
        <v>10885548.84</v>
      </c>
      <c r="H155" s="117">
        <v>0</v>
      </c>
      <c r="J155" s="129">
        <f t="shared" si="11"/>
        <v>-10885548.84</v>
      </c>
    </row>
    <row r="156" spans="1:10">
      <c r="A156" s="103" t="s">
        <v>438</v>
      </c>
      <c r="B156" s="103" t="s">
        <v>439</v>
      </c>
      <c r="C156" s="117">
        <v>0</v>
      </c>
      <c r="D156" s="117">
        <v>0</v>
      </c>
      <c r="E156" s="117">
        <v>124442352.95000003</v>
      </c>
      <c r="F156" s="117">
        <v>0</v>
      </c>
      <c r="G156" s="117">
        <v>124442352.95000003</v>
      </c>
      <c r="H156" s="117">
        <v>0</v>
      </c>
      <c r="J156" s="125">
        <f t="shared" si="11"/>
        <v>-124442352.95000003</v>
      </c>
    </row>
    <row r="157" spans="1:10">
      <c r="A157" s="103" t="s">
        <v>440</v>
      </c>
      <c r="B157" s="103" t="s">
        <v>441</v>
      </c>
      <c r="C157" s="117">
        <v>0</v>
      </c>
      <c r="D157" s="117">
        <v>0</v>
      </c>
      <c r="E157" s="117">
        <v>155817860.18000004</v>
      </c>
      <c r="F157" s="117">
        <v>0</v>
      </c>
      <c r="G157" s="117">
        <v>155817860.18000004</v>
      </c>
      <c r="H157" s="117">
        <v>0</v>
      </c>
      <c r="J157" s="125">
        <f t="shared" si="11"/>
        <v>-155817860.18000004</v>
      </c>
    </row>
    <row r="158" spans="1:10">
      <c r="A158" s="103" t="s">
        <v>442</v>
      </c>
      <c r="B158" s="103" t="s">
        <v>443</v>
      </c>
      <c r="C158" s="117">
        <v>0</v>
      </c>
      <c r="D158" s="117">
        <v>0</v>
      </c>
      <c r="E158" s="117">
        <v>63897226.840000026</v>
      </c>
      <c r="F158" s="117">
        <v>0</v>
      </c>
      <c r="G158" s="117">
        <v>63897226.840000026</v>
      </c>
      <c r="H158" s="117">
        <v>0</v>
      </c>
      <c r="J158" s="125">
        <f t="shared" si="11"/>
        <v>-63897226.840000026</v>
      </c>
    </row>
    <row r="159" spans="1:10">
      <c r="A159" s="103" t="s">
        <v>444</v>
      </c>
      <c r="B159" s="103" t="s">
        <v>445</v>
      </c>
      <c r="C159" s="117">
        <v>0</v>
      </c>
      <c r="D159" s="117">
        <v>0</v>
      </c>
      <c r="E159" s="117">
        <v>12802457.259999998</v>
      </c>
      <c r="F159" s="117">
        <v>0</v>
      </c>
      <c r="G159" s="117">
        <v>12802457.259999998</v>
      </c>
      <c r="H159" s="117">
        <v>0</v>
      </c>
      <c r="J159" s="125">
        <f t="shared" si="11"/>
        <v>-12802457.259999998</v>
      </c>
    </row>
    <row r="160" spans="1:10">
      <c r="A160" s="103" t="s">
        <v>446</v>
      </c>
      <c r="B160" s="103" t="s">
        <v>447</v>
      </c>
      <c r="C160" s="117">
        <v>0</v>
      </c>
      <c r="D160" s="117">
        <v>0</v>
      </c>
      <c r="E160" s="117">
        <v>37978166.580000006</v>
      </c>
      <c r="F160" s="117">
        <v>0</v>
      </c>
      <c r="G160" s="117">
        <v>37978166.580000006</v>
      </c>
      <c r="H160" s="117">
        <v>0</v>
      </c>
      <c r="J160" s="125">
        <f t="shared" si="11"/>
        <v>-37978166.580000006</v>
      </c>
    </row>
    <row r="161" spans="1:10">
      <c r="A161" s="103" t="s">
        <v>448</v>
      </c>
      <c r="B161" s="103" t="s">
        <v>449</v>
      </c>
      <c r="C161" s="117">
        <v>0</v>
      </c>
      <c r="D161" s="117">
        <v>0</v>
      </c>
      <c r="E161" s="117">
        <v>35543316.400000021</v>
      </c>
      <c r="F161" s="117">
        <v>0</v>
      </c>
      <c r="G161" s="117">
        <v>35543316.400000021</v>
      </c>
      <c r="H161" s="117">
        <v>0</v>
      </c>
      <c r="J161" s="125">
        <f t="shared" si="11"/>
        <v>-35543316.400000021</v>
      </c>
    </row>
    <row r="162" spans="1:10">
      <c r="A162" s="103" t="s">
        <v>450</v>
      </c>
      <c r="B162" s="103" t="s">
        <v>451</v>
      </c>
      <c r="C162" s="117">
        <v>0</v>
      </c>
      <c r="D162" s="117">
        <v>0</v>
      </c>
      <c r="E162" s="117">
        <v>1534074968.8699999</v>
      </c>
      <c r="F162" s="117">
        <v>0</v>
      </c>
      <c r="G162" s="117">
        <v>1534074968.8699999</v>
      </c>
      <c r="H162" s="117">
        <v>0</v>
      </c>
      <c r="J162" s="128">
        <f t="shared" ref="J162:J166" si="12">F162-E162</f>
        <v>-1534074968.8699999</v>
      </c>
    </row>
    <row r="163" spans="1:10">
      <c r="A163" s="103" t="s">
        <v>452</v>
      </c>
      <c r="B163" s="103" t="s">
        <v>453</v>
      </c>
      <c r="C163" s="117">
        <v>0</v>
      </c>
      <c r="D163" s="117">
        <v>0</v>
      </c>
      <c r="E163" s="117">
        <v>860958904</v>
      </c>
      <c r="F163" s="117">
        <v>6161401690.3399992</v>
      </c>
      <c r="G163" s="117">
        <v>0</v>
      </c>
      <c r="H163" s="117">
        <v>5300442786.3399992</v>
      </c>
      <c r="J163" s="125">
        <f t="shared" si="12"/>
        <v>5300442786.3399992</v>
      </c>
    </row>
    <row r="164" spans="1:10">
      <c r="A164" s="103" t="s">
        <v>454</v>
      </c>
      <c r="B164" s="103" t="s">
        <v>455</v>
      </c>
      <c r="C164" s="117">
        <v>0</v>
      </c>
      <c r="D164" s="117">
        <v>0</v>
      </c>
      <c r="E164" s="117">
        <v>1680000</v>
      </c>
      <c r="F164" s="117">
        <v>0</v>
      </c>
      <c r="G164" s="117">
        <v>1680000</v>
      </c>
      <c r="H164" s="117">
        <v>0</v>
      </c>
      <c r="J164" s="125">
        <f t="shared" si="12"/>
        <v>-1680000</v>
      </c>
    </row>
    <row r="165" spans="1:10">
      <c r="A165" s="103" t="s">
        <v>456</v>
      </c>
      <c r="B165" s="103" t="s">
        <v>457</v>
      </c>
      <c r="C165" s="117">
        <v>0</v>
      </c>
      <c r="D165" s="117">
        <v>0</v>
      </c>
      <c r="E165" s="117">
        <v>1903310</v>
      </c>
      <c r="F165" s="117">
        <v>0</v>
      </c>
      <c r="G165" s="117">
        <v>1903310</v>
      </c>
      <c r="H165" s="117">
        <v>0</v>
      </c>
      <c r="J165" s="125">
        <f t="shared" si="12"/>
        <v>-1903310</v>
      </c>
    </row>
    <row r="166" spans="1:10">
      <c r="A166" s="103" t="s">
        <v>458</v>
      </c>
      <c r="B166" s="103" t="s">
        <v>459</v>
      </c>
      <c r="C166" s="117">
        <v>0</v>
      </c>
      <c r="D166" s="117">
        <v>0</v>
      </c>
      <c r="E166" s="117">
        <v>323955265.02999997</v>
      </c>
      <c r="F166" s="117">
        <v>401906494.95999998</v>
      </c>
      <c r="G166" s="117">
        <v>0</v>
      </c>
      <c r="H166" s="117">
        <v>77951229.930000037</v>
      </c>
      <c r="J166" s="125">
        <f t="shared" si="12"/>
        <v>77951229.930000007</v>
      </c>
    </row>
    <row r="167" spans="1:10">
      <c r="A167" s="103" t="s">
        <v>460</v>
      </c>
      <c r="B167" s="103" t="s">
        <v>461</v>
      </c>
      <c r="C167" s="117">
        <v>0</v>
      </c>
      <c r="D167" s="117">
        <v>0</v>
      </c>
      <c r="E167" s="117">
        <v>0</v>
      </c>
      <c r="F167" s="117">
        <v>19221320</v>
      </c>
      <c r="G167" s="117">
        <v>0</v>
      </c>
      <c r="H167" s="117">
        <v>19221320</v>
      </c>
      <c r="J167" s="125">
        <f>F167-E167</f>
        <v>19221320</v>
      </c>
    </row>
    <row r="168" spans="1:10">
      <c r="A168" s="103" t="s">
        <v>462</v>
      </c>
      <c r="B168" s="103" t="s">
        <v>463</v>
      </c>
      <c r="C168" s="117">
        <v>0</v>
      </c>
      <c r="D168" s="117">
        <v>0</v>
      </c>
      <c r="E168" s="117">
        <v>161718807.46999994</v>
      </c>
      <c r="F168" s="117">
        <v>5975049.8099999996</v>
      </c>
      <c r="G168" s="117">
        <v>155743757.65999994</v>
      </c>
      <c r="H168" s="117">
        <v>0</v>
      </c>
      <c r="J168" s="125">
        <f t="shared" si="11"/>
        <v>-155743757.65999994</v>
      </c>
    </row>
    <row r="169" spans="1:10">
      <c r="A169" s="103" t="s">
        <v>464</v>
      </c>
      <c r="B169" s="103" t="s">
        <v>465</v>
      </c>
      <c r="C169" s="117">
        <v>0</v>
      </c>
      <c r="D169" s="117">
        <v>0</v>
      </c>
      <c r="E169" s="117">
        <v>0</v>
      </c>
      <c r="F169" s="117">
        <v>1698263965</v>
      </c>
      <c r="G169" s="117">
        <v>0</v>
      </c>
      <c r="H169" s="117">
        <v>1698263965</v>
      </c>
      <c r="J169" s="125">
        <f t="shared" si="11"/>
        <v>1698263965</v>
      </c>
    </row>
    <row r="170" spans="1:10">
      <c r="A170" s="103" t="s">
        <v>466</v>
      </c>
      <c r="B170" s="103" t="s">
        <v>467</v>
      </c>
      <c r="C170" s="117">
        <v>0</v>
      </c>
      <c r="D170" s="117">
        <v>0</v>
      </c>
      <c r="E170" s="117">
        <v>0</v>
      </c>
      <c r="F170" s="117">
        <v>4337669585.5500002</v>
      </c>
      <c r="G170" s="117">
        <v>0</v>
      </c>
      <c r="H170" s="117">
        <v>4337669585.5500002</v>
      </c>
      <c r="J170" s="125">
        <f>F170-E170</f>
        <v>4337669585.5500002</v>
      </c>
    </row>
    <row r="171" spans="1:10">
      <c r="A171" s="103" t="s">
        <v>468</v>
      </c>
      <c r="B171" s="103" t="s">
        <v>469</v>
      </c>
      <c r="C171" s="117">
        <v>0</v>
      </c>
      <c r="D171" s="117">
        <v>0</v>
      </c>
      <c r="E171" s="117">
        <v>0</v>
      </c>
      <c r="F171" s="117">
        <v>42790745204</v>
      </c>
      <c r="G171" s="117">
        <v>0</v>
      </c>
      <c r="H171" s="117">
        <v>42790745204</v>
      </c>
      <c r="J171" s="125">
        <f>F171-E171</f>
        <v>42790745204</v>
      </c>
    </row>
    <row r="172" spans="1:10">
      <c r="A172" s="103" t="s">
        <v>470</v>
      </c>
      <c r="B172" s="103" t="s">
        <v>471</v>
      </c>
      <c r="C172" s="117">
        <v>0</v>
      </c>
      <c r="D172" s="117">
        <v>0</v>
      </c>
      <c r="E172" s="117">
        <v>0</v>
      </c>
      <c r="F172" s="117">
        <v>15099334.529999999</v>
      </c>
      <c r="G172" s="117">
        <v>0</v>
      </c>
      <c r="H172" s="117">
        <v>15099334.529999999</v>
      </c>
      <c r="J172" s="125">
        <f>F172-E172</f>
        <v>15099334.529999999</v>
      </c>
    </row>
    <row r="173" spans="1:10">
      <c r="A173" s="103"/>
      <c r="B173" s="103"/>
      <c r="C173" s="117"/>
      <c r="D173" s="117"/>
      <c r="E173" s="117"/>
      <c r="F173" s="117"/>
      <c r="G173" s="117"/>
      <c r="H173" s="117"/>
    </row>
    <row r="174" spans="1:10">
      <c r="A174" s="103"/>
      <c r="B174" s="103"/>
      <c r="C174" s="118">
        <f t="shared" ref="C174:D174" si="13">SUM(C86:C173)</f>
        <v>0</v>
      </c>
      <c r="D174" s="118">
        <f t="shared" si="13"/>
        <v>0</v>
      </c>
      <c r="E174" s="118">
        <f t="shared" ref="E174:H174" si="14">SUM(E86:E173)</f>
        <v>54556956814.909996</v>
      </c>
      <c r="F174" s="118">
        <f t="shared" si="14"/>
        <v>58321172365</v>
      </c>
      <c r="G174" s="118">
        <f t="shared" si="14"/>
        <v>50475177875.260002</v>
      </c>
      <c r="H174" s="118">
        <f t="shared" si="14"/>
        <v>54239393425.349998</v>
      </c>
      <c r="I174" s="118">
        <f>SUM(I86:I173)</f>
        <v>0</v>
      </c>
      <c r="J174" s="118">
        <f>SUM(J86:J173)</f>
        <v>3764215550.0899978</v>
      </c>
    </row>
    <row r="175" spans="1:10">
      <c r="A175" s="103"/>
      <c r="B175" s="103"/>
      <c r="C175" s="117"/>
      <c r="D175" s="117"/>
      <c r="E175" s="117"/>
      <c r="F175" s="117"/>
      <c r="G175" s="117"/>
      <c r="H175" s="117"/>
    </row>
    <row r="176" spans="1:10">
      <c r="A176" s="103"/>
      <c r="B176" s="103"/>
      <c r="C176" s="117"/>
      <c r="D176" s="117"/>
      <c r="E176" s="117"/>
      <c r="F176" s="117">
        <f>F174-E174</f>
        <v>3764215550.090004</v>
      </c>
      <c r="G176" s="117"/>
      <c r="H176" s="117">
        <f>H174-G174</f>
        <v>3764215550.0899963</v>
      </c>
      <c r="J176" s="118">
        <f>J174-H83</f>
        <v>0</v>
      </c>
    </row>
    <row r="177" spans="1:23">
      <c r="A177" s="103"/>
      <c r="B177" s="103"/>
      <c r="C177" s="117"/>
      <c r="D177" s="117"/>
      <c r="E177" s="117"/>
      <c r="F177" s="117"/>
      <c r="G177" s="117"/>
      <c r="H177" s="117"/>
    </row>
    <row r="178" spans="1:23">
      <c r="A178" s="103"/>
      <c r="B178" s="103"/>
      <c r="C178" s="117"/>
      <c r="D178" s="117"/>
      <c r="E178" s="117"/>
      <c r="F178" s="117"/>
      <c r="G178" s="117"/>
      <c r="H178" s="117"/>
    </row>
    <row r="179" spans="1:23">
      <c r="A179" s="103"/>
      <c r="B179" s="103"/>
      <c r="C179" s="117"/>
      <c r="D179" s="117"/>
      <c r="E179" s="117"/>
      <c r="F179" s="117"/>
      <c r="G179" s="117"/>
      <c r="H179" s="117"/>
    </row>
    <row r="180" spans="1:23">
      <c r="A180" s="103"/>
      <c r="B180" s="103"/>
      <c r="C180" s="117"/>
      <c r="D180" s="117"/>
      <c r="E180" s="117"/>
      <c r="F180" s="117"/>
      <c r="G180" s="117"/>
      <c r="H180" s="117"/>
    </row>
    <row r="181" spans="1:23">
      <c r="B181" s="103" t="s">
        <v>472</v>
      </c>
      <c r="C181" s="117">
        <v>140967418848.20001</v>
      </c>
      <c r="D181" s="117">
        <v>140967418848.20001</v>
      </c>
      <c r="E181" s="117">
        <v>3069733838825.9102</v>
      </c>
      <c r="F181" s="117">
        <v>3069733838825.9102</v>
      </c>
      <c r="G181" s="117">
        <v>213460451884.85004</v>
      </c>
      <c r="H181" s="117">
        <v>213460451884.85001</v>
      </c>
      <c r="R181" s="103"/>
      <c r="S181" s="103"/>
      <c r="T181" s="103"/>
      <c r="U181" s="103"/>
      <c r="V181" s="103"/>
      <c r="W181" s="103"/>
    </row>
    <row r="182" spans="1:23">
      <c r="A182" s="113"/>
    </row>
    <row r="183" spans="1:23">
      <c r="B183" s="103"/>
      <c r="C183" s="117" t="s">
        <v>266</v>
      </c>
      <c r="D183" s="117" t="s">
        <v>267</v>
      </c>
      <c r="E183" s="117" t="s">
        <v>268</v>
      </c>
      <c r="F183" s="117" t="s">
        <v>269</v>
      </c>
      <c r="G183" s="117" t="s">
        <v>270</v>
      </c>
      <c r="H183" s="117" t="s">
        <v>271</v>
      </c>
      <c r="I183" s="119" t="s">
        <v>271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A11" sqref="A11"/>
    </sheetView>
  </sheetViews>
  <sheetFormatPr defaultRowHeight="15.75"/>
  <cols>
    <col min="1" max="1" width="9" style="104"/>
    <col min="2" max="2" width="23.375" style="104" customWidth="1"/>
    <col min="3" max="3" width="65.25" style="104" customWidth="1"/>
    <col min="4" max="4" width="19.625" style="104" customWidth="1"/>
    <col min="5" max="5" width="19.875" style="104" customWidth="1"/>
    <col min="6" max="16384" width="9" style="104"/>
  </cols>
  <sheetData>
    <row r="1" spans="1:5">
      <c r="A1" s="103" t="s">
        <v>111</v>
      </c>
      <c r="B1" s="103" t="s">
        <v>112</v>
      </c>
    </row>
    <row r="2" spans="1:5">
      <c r="A2" s="103" t="s">
        <v>113</v>
      </c>
    </row>
    <row r="3" spans="1:5">
      <c r="D3" s="103" t="s">
        <v>114</v>
      </c>
      <c r="E3" s="103" t="s">
        <v>115</v>
      </c>
    </row>
    <row r="4" spans="1:5">
      <c r="A4" s="103" t="s">
        <v>116</v>
      </c>
      <c r="B4" s="103" t="s">
        <v>63</v>
      </c>
      <c r="C4" s="103" t="s">
        <v>117</v>
      </c>
      <c r="D4" s="103" t="s">
        <v>59</v>
      </c>
      <c r="E4" s="103" t="s">
        <v>60</v>
      </c>
    </row>
    <row r="5" spans="1:5">
      <c r="A5" s="105">
        <v>1</v>
      </c>
      <c r="B5" s="103" t="s">
        <v>118</v>
      </c>
      <c r="D5" s="106">
        <v>4468000</v>
      </c>
      <c r="E5" s="106">
        <v>10000000</v>
      </c>
    </row>
    <row r="6" spans="1:5">
      <c r="A6" s="105">
        <v>1</v>
      </c>
      <c r="B6" s="103" t="s">
        <v>119</v>
      </c>
      <c r="C6" s="103" t="s">
        <v>120</v>
      </c>
      <c r="D6" s="107">
        <v>4468000</v>
      </c>
      <c r="E6" s="107">
        <v>10000000</v>
      </c>
    </row>
    <row r="7" spans="1:5">
      <c r="A7" s="105">
        <v>2</v>
      </c>
      <c r="B7" s="103" t="s">
        <v>121</v>
      </c>
      <c r="D7" s="106">
        <v>156814829312.28003</v>
      </c>
      <c r="E7" s="106">
        <v>136629368894.74001</v>
      </c>
    </row>
    <row r="8" spans="1:5" s="112" customFormat="1">
      <c r="A8" s="108">
        <v>2</v>
      </c>
      <c r="B8" s="109" t="s">
        <v>122</v>
      </c>
      <c r="C8" s="109" t="s">
        <v>123</v>
      </c>
      <c r="D8" s="110">
        <v>55650947823</v>
      </c>
      <c r="E8" s="111">
        <v>39741098167</v>
      </c>
    </row>
    <row r="9" spans="1:5">
      <c r="A9" s="105">
        <v>3</v>
      </c>
      <c r="B9" s="103" t="s">
        <v>124</v>
      </c>
      <c r="C9" s="103" t="s">
        <v>125</v>
      </c>
      <c r="D9" s="107">
        <v>100000</v>
      </c>
      <c r="E9" s="107">
        <v>100000</v>
      </c>
    </row>
    <row r="10" spans="1:5">
      <c r="A10" s="105">
        <v>4</v>
      </c>
      <c r="B10" s="103" t="s">
        <v>126</v>
      </c>
      <c r="C10" s="103" t="s">
        <v>127</v>
      </c>
      <c r="D10" s="107">
        <v>25000000000</v>
      </c>
      <c r="E10" s="107">
        <v>0</v>
      </c>
    </row>
    <row r="11" spans="1:5">
      <c r="A11" s="105"/>
      <c r="B11" s="103" t="s">
        <v>128</v>
      </c>
      <c r="C11" s="103" t="s">
        <v>129</v>
      </c>
      <c r="D11" s="107">
        <v>137607.24000000954</v>
      </c>
      <c r="E11" s="107">
        <v>652607.74</v>
      </c>
    </row>
    <row r="12" spans="1:5">
      <c r="A12" s="105">
        <v>6</v>
      </c>
      <c r="B12" s="103" t="s">
        <v>130</v>
      </c>
      <c r="C12" s="103" t="s">
        <v>131</v>
      </c>
      <c r="D12" s="107">
        <v>5000000000</v>
      </c>
      <c r="E12" s="107">
        <v>0</v>
      </c>
    </row>
    <row r="13" spans="1:5">
      <c r="A13" s="105">
        <v>7</v>
      </c>
      <c r="B13" s="103" t="s">
        <v>132</v>
      </c>
      <c r="C13" s="103" t="s">
        <v>133</v>
      </c>
      <c r="D13" s="107">
        <v>294629790</v>
      </c>
      <c r="E13" s="107">
        <v>92595445</v>
      </c>
    </row>
    <row r="14" spans="1:5">
      <c r="A14" s="105">
        <v>8</v>
      </c>
      <c r="B14" s="103" t="s">
        <v>134</v>
      </c>
      <c r="C14" s="103" t="s">
        <v>135</v>
      </c>
      <c r="D14" s="107">
        <v>35000000000</v>
      </c>
      <c r="E14" s="107">
        <v>0</v>
      </c>
    </row>
    <row r="15" spans="1:5">
      <c r="A15" s="105">
        <v>9</v>
      </c>
      <c r="B15" s="103" t="s">
        <v>136</v>
      </c>
      <c r="C15" s="103" t="s">
        <v>137</v>
      </c>
      <c r="D15" s="107">
        <v>1788525.38</v>
      </c>
      <c r="E15" s="107">
        <v>713249.55</v>
      </c>
    </row>
    <row r="16" spans="1:5">
      <c r="A16" s="105">
        <v>10</v>
      </c>
      <c r="B16" s="103" t="s">
        <v>138</v>
      </c>
      <c r="C16" s="103" t="s">
        <v>139</v>
      </c>
      <c r="D16" s="107">
        <v>3469166998</v>
      </c>
      <c r="E16" s="107">
        <v>1358879432</v>
      </c>
    </row>
    <row r="17" spans="1:5">
      <c r="A17" s="105">
        <v>11</v>
      </c>
      <c r="B17" s="103" t="s">
        <v>140</v>
      </c>
      <c r="C17" s="103" t="s">
        <v>141</v>
      </c>
      <c r="D17" s="107">
        <v>30012667.200004578</v>
      </c>
      <c r="E17" s="107">
        <v>890273394.24000001</v>
      </c>
    </row>
    <row r="18" spans="1:5">
      <c r="A18" s="105">
        <v>12</v>
      </c>
      <c r="B18" s="103" t="s">
        <v>142</v>
      </c>
      <c r="C18" s="103" t="s">
        <v>143</v>
      </c>
      <c r="D18" s="107">
        <v>2281603544.3500061</v>
      </c>
      <c r="E18" s="107">
        <v>72281613544.350006</v>
      </c>
    </row>
    <row r="19" spans="1:5">
      <c r="A19" s="105">
        <v>13</v>
      </c>
      <c r="B19" s="103" t="s">
        <v>144</v>
      </c>
      <c r="C19" s="103" t="s">
        <v>145</v>
      </c>
      <c r="D19" s="107">
        <v>1594317.1200000048</v>
      </c>
      <c r="E19" s="107">
        <v>1641620.4</v>
      </c>
    </row>
    <row r="20" spans="1:5">
      <c r="A20" s="105">
        <v>14</v>
      </c>
      <c r="B20" s="103" t="s">
        <v>146</v>
      </c>
      <c r="C20" s="103" t="s">
        <v>147</v>
      </c>
      <c r="D20" s="107">
        <v>1000000</v>
      </c>
      <c r="E20" s="107">
        <v>0</v>
      </c>
    </row>
    <row r="21" spans="1:5">
      <c r="A21" s="105">
        <v>15</v>
      </c>
      <c r="B21" s="103" t="s">
        <v>148</v>
      </c>
      <c r="C21" s="103" t="s">
        <v>149</v>
      </c>
      <c r="D21" s="107">
        <v>20000000000</v>
      </c>
      <c r="E21" s="107">
        <v>20000000000</v>
      </c>
    </row>
    <row r="22" spans="1:5">
      <c r="A22" s="105">
        <v>16</v>
      </c>
      <c r="B22" s="103" t="s">
        <v>150</v>
      </c>
      <c r="C22" s="103" t="s">
        <v>151</v>
      </c>
      <c r="D22" s="107">
        <v>9249349530.2200165</v>
      </c>
      <c r="E22" s="107">
        <v>2261801434.46</v>
      </c>
    </row>
    <row r="23" spans="1:5">
      <c r="A23" s="105">
        <v>17</v>
      </c>
      <c r="B23" s="103" t="s">
        <v>152</v>
      </c>
      <c r="C23" s="103" t="s">
        <v>153</v>
      </c>
      <c r="D23" s="107">
        <v>834498509.7700119</v>
      </c>
      <c r="E23" s="107">
        <v>0</v>
      </c>
    </row>
    <row r="24" spans="1:5">
      <c r="A24" s="105">
        <v>3</v>
      </c>
      <c r="B24" s="103" t="s">
        <v>154</v>
      </c>
      <c r="D24" s="106">
        <v>514920200.00999987</v>
      </c>
      <c r="E24" s="106">
        <v>79930000</v>
      </c>
    </row>
    <row r="25" spans="1:5">
      <c r="A25" s="105">
        <v>18</v>
      </c>
      <c r="B25" s="103" t="s">
        <v>155</v>
      </c>
      <c r="C25" s="103" t="s">
        <v>156</v>
      </c>
      <c r="D25" s="107">
        <v>474219940.07999992</v>
      </c>
      <c r="E25" s="107">
        <v>117180970</v>
      </c>
    </row>
    <row r="26" spans="1:5">
      <c r="A26" s="105">
        <v>19</v>
      </c>
      <c r="B26" s="103" t="s">
        <v>157</v>
      </c>
      <c r="C26" s="103" t="s">
        <v>158</v>
      </c>
      <c r="D26" s="107">
        <v>40700259.929999948</v>
      </c>
      <c r="E26" s="107">
        <v>-37250970</v>
      </c>
    </row>
    <row r="27" spans="1:5">
      <c r="A27" s="105">
        <v>4</v>
      </c>
      <c r="B27" s="103" t="s">
        <v>159</v>
      </c>
      <c r="D27" s="106">
        <v>58820889</v>
      </c>
      <c r="E27" s="106">
        <v>4284683</v>
      </c>
    </row>
    <row r="28" spans="1:5">
      <c r="A28" s="105">
        <v>20</v>
      </c>
      <c r="B28" s="103" t="s">
        <v>160</v>
      </c>
      <c r="C28" s="103" t="s">
        <v>161</v>
      </c>
      <c r="D28" s="107">
        <v>58820889</v>
      </c>
      <c r="E28" s="107">
        <v>4284683</v>
      </c>
    </row>
    <row r="29" spans="1:5">
      <c r="A29" s="105">
        <v>5</v>
      </c>
      <c r="B29" s="103" t="s">
        <v>162</v>
      </c>
      <c r="C29" s="107">
        <v>0</v>
      </c>
      <c r="D29" s="107">
        <v>23823233</v>
      </c>
    </row>
    <row r="30" spans="1:5">
      <c r="A30" s="105">
        <v>21</v>
      </c>
      <c r="B30" s="103" t="s">
        <v>163</v>
      </c>
      <c r="C30" s="103" t="s">
        <v>164</v>
      </c>
      <c r="D30" s="107">
        <v>0</v>
      </c>
      <c r="E30" s="107">
        <v>23823233</v>
      </c>
    </row>
    <row r="31" spans="1:5">
      <c r="A31" s="105">
        <v>6</v>
      </c>
      <c r="B31" s="103" t="s">
        <v>165</v>
      </c>
      <c r="D31" s="106">
        <v>6468582.9999999925</v>
      </c>
      <c r="E31" s="106">
        <v>152643900.47999999</v>
      </c>
    </row>
    <row r="32" spans="1:5">
      <c r="A32" s="105">
        <v>22</v>
      </c>
      <c r="B32" s="103" t="s">
        <v>166</v>
      </c>
      <c r="C32" s="103" t="s">
        <v>167</v>
      </c>
      <c r="D32" s="107">
        <v>5968583</v>
      </c>
      <c r="E32" s="107">
        <v>61100181</v>
      </c>
    </row>
    <row r="33" spans="1:5">
      <c r="A33" s="105">
        <v>23</v>
      </c>
      <c r="B33" s="103" t="s">
        <v>168</v>
      </c>
      <c r="C33" s="103" t="s">
        <v>169</v>
      </c>
      <c r="D33" s="107">
        <v>-7.4505805969238281E-9</v>
      </c>
      <c r="E33" s="107">
        <v>27382363.629999999</v>
      </c>
    </row>
    <row r="34" spans="1:5">
      <c r="A34" s="105">
        <v>24</v>
      </c>
      <c r="B34" s="103" t="s">
        <v>170</v>
      </c>
      <c r="C34" s="103" t="s">
        <v>171</v>
      </c>
      <c r="D34" s="107">
        <v>500000</v>
      </c>
      <c r="E34" s="107">
        <v>36400000</v>
      </c>
    </row>
    <row r="35" spans="1:5">
      <c r="A35" s="105">
        <v>25</v>
      </c>
      <c r="B35" s="103" t="s">
        <v>172</v>
      </c>
      <c r="C35" s="103" t="s">
        <v>173</v>
      </c>
      <c r="D35" s="107">
        <v>0</v>
      </c>
      <c r="E35" s="107">
        <v>27761355.850000001</v>
      </c>
    </row>
    <row r="36" spans="1:5">
      <c r="A36" s="105">
        <v>7</v>
      </c>
      <c r="B36" s="103" t="s">
        <v>174</v>
      </c>
      <c r="D36" s="106">
        <v>307778050.00999999</v>
      </c>
      <c r="E36" s="106">
        <v>270213970.00999999</v>
      </c>
    </row>
    <row r="37" spans="1:5">
      <c r="A37" s="105">
        <v>26</v>
      </c>
      <c r="B37" s="103" t="s">
        <v>175</v>
      </c>
      <c r="C37" s="103" t="s">
        <v>176</v>
      </c>
      <c r="D37" s="107">
        <v>307778050.00999999</v>
      </c>
      <c r="E37" s="107">
        <v>270213970.00999999</v>
      </c>
    </row>
    <row r="38" spans="1:5">
      <c r="A38" s="105">
        <v>8</v>
      </c>
      <c r="B38" s="103" t="s">
        <v>177</v>
      </c>
      <c r="D38" s="106">
        <v>3346086930.8699999</v>
      </c>
      <c r="E38" s="106">
        <v>3199589695.8699999</v>
      </c>
    </row>
    <row r="39" spans="1:5">
      <c r="A39" s="105">
        <v>27</v>
      </c>
      <c r="B39" s="103" t="s">
        <v>178</v>
      </c>
      <c r="C39" s="103" t="s">
        <v>179</v>
      </c>
      <c r="D39" s="107">
        <v>1547672051.8699999</v>
      </c>
      <c r="E39" s="107">
        <v>1539482051.8699999</v>
      </c>
    </row>
    <row r="40" spans="1:5">
      <c r="A40" s="105">
        <v>28</v>
      </c>
      <c r="B40" s="103" t="s">
        <v>180</v>
      </c>
      <c r="C40" s="103" t="s">
        <v>181</v>
      </c>
      <c r="D40" s="107">
        <v>629368000</v>
      </c>
      <c r="E40" s="107">
        <v>615368000</v>
      </c>
    </row>
    <row r="41" spans="1:5">
      <c r="A41" s="105">
        <v>29</v>
      </c>
      <c r="B41" s="103" t="s">
        <v>182</v>
      </c>
      <c r="C41" s="103" t="s">
        <v>183</v>
      </c>
      <c r="D41" s="107">
        <v>138215192.81999999</v>
      </c>
      <c r="E41" s="107">
        <v>96539607.819999993</v>
      </c>
    </row>
    <row r="42" spans="1:5">
      <c r="A42" s="105">
        <v>30</v>
      </c>
      <c r="B42" s="103" t="s">
        <v>184</v>
      </c>
      <c r="C42" s="103" t="s">
        <v>185</v>
      </c>
      <c r="D42" s="107">
        <v>649742024.07000005</v>
      </c>
      <c r="E42" s="107">
        <v>574260874.07000005</v>
      </c>
    </row>
    <row r="43" spans="1:5">
      <c r="A43" s="105">
        <v>31</v>
      </c>
      <c r="B43" s="103" t="s">
        <v>186</v>
      </c>
      <c r="C43" s="103" t="s">
        <v>187</v>
      </c>
      <c r="D43" s="107">
        <v>381089662.11000001</v>
      </c>
      <c r="E43" s="107">
        <v>373939162.11000001</v>
      </c>
    </row>
    <row r="44" spans="1:5">
      <c r="A44" s="105">
        <v>9</v>
      </c>
      <c r="B44" s="103" t="s">
        <v>188</v>
      </c>
      <c r="D44" s="106">
        <v>-815730854.58000016</v>
      </c>
      <c r="E44" s="106">
        <v>-397031845.52999997</v>
      </c>
    </row>
    <row r="45" spans="1:5">
      <c r="A45" s="105">
        <v>32</v>
      </c>
      <c r="B45" s="103" t="s">
        <v>189</v>
      </c>
      <c r="C45" s="103" t="s">
        <v>190</v>
      </c>
      <c r="D45" s="107">
        <v>-112752822.12000002</v>
      </c>
      <c r="E45" s="107">
        <v>-49361920.759999998</v>
      </c>
    </row>
    <row r="46" spans="1:5">
      <c r="A46" s="105">
        <v>33</v>
      </c>
      <c r="B46" s="103" t="s">
        <v>191</v>
      </c>
      <c r="C46" s="103" t="s">
        <v>192</v>
      </c>
      <c r="D46" s="107">
        <v>-306448141.21000004</v>
      </c>
      <c r="E46" s="107">
        <v>-150658178.90000001</v>
      </c>
    </row>
    <row r="47" spans="1:5">
      <c r="A47" s="105">
        <v>34</v>
      </c>
      <c r="B47" s="103" t="s">
        <v>193</v>
      </c>
      <c r="C47" s="103" t="s">
        <v>194</v>
      </c>
      <c r="D47" s="107">
        <v>-73403487.100000009</v>
      </c>
      <c r="E47" s="107">
        <v>-35686254</v>
      </c>
    </row>
    <row r="48" spans="1:5">
      <c r="A48" s="105">
        <v>35</v>
      </c>
      <c r="B48" s="103" t="s">
        <v>195</v>
      </c>
      <c r="C48" s="103" t="s">
        <v>196</v>
      </c>
      <c r="D48" s="107">
        <v>-20246504.129999999</v>
      </c>
      <c r="E48" s="107">
        <v>-7995341.2000000002</v>
      </c>
    </row>
    <row r="49" spans="1:5">
      <c r="A49" s="105">
        <v>36</v>
      </c>
      <c r="B49" s="103" t="s">
        <v>197</v>
      </c>
      <c r="C49" s="103" t="s">
        <v>198</v>
      </c>
      <c r="D49" s="107">
        <v>-244209315.18000004</v>
      </c>
      <c r="E49" s="107">
        <v>-119766962.23</v>
      </c>
    </row>
    <row r="50" spans="1:5">
      <c r="A50" s="105">
        <v>37</v>
      </c>
      <c r="B50" s="103" t="s">
        <v>199</v>
      </c>
      <c r="C50" s="103" t="s">
        <v>200</v>
      </c>
      <c r="D50" s="107">
        <v>-58670584.840000004</v>
      </c>
      <c r="E50" s="107">
        <v>-33563188.439999998</v>
      </c>
    </row>
    <row r="51" spans="1:5">
      <c r="A51" s="105">
        <v>10</v>
      </c>
      <c r="B51" s="103" t="s">
        <v>201</v>
      </c>
      <c r="D51" s="106">
        <v>1197566141.2700005</v>
      </c>
      <c r="E51" s="106">
        <v>169863014</v>
      </c>
    </row>
    <row r="52" spans="1:5">
      <c r="A52" s="105">
        <v>38</v>
      </c>
      <c r="B52" s="103" t="s">
        <v>202</v>
      </c>
      <c r="C52" s="103" t="s">
        <v>203</v>
      </c>
      <c r="D52" s="107">
        <v>661706621.27000046</v>
      </c>
      <c r="E52" s="107">
        <v>169863014</v>
      </c>
    </row>
    <row r="53" spans="1:5">
      <c r="A53" s="105">
        <v>39</v>
      </c>
      <c r="B53" s="103" t="s">
        <v>204</v>
      </c>
      <c r="C53" s="103" t="s">
        <v>205</v>
      </c>
      <c r="D53" s="107">
        <v>535859520</v>
      </c>
      <c r="E53" s="107">
        <v>0</v>
      </c>
    </row>
    <row r="54" spans="1:5">
      <c r="A54" s="105">
        <v>11</v>
      </c>
      <c r="B54" s="103" t="s">
        <v>206</v>
      </c>
      <c r="D54" s="106">
        <v>566991212.10000002</v>
      </c>
      <c r="E54" s="106">
        <v>242043963.09999999</v>
      </c>
    </row>
    <row r="55" spans="1:5">
      <c r="A55" s="105">
        <v>40</v>
      </c>
      <c r="B55" s="103" t="s">
        <v>207</v>
      </c>
      <c r="C55" s="103" t="s">
        <v>208</v>
      </c>
      <c r="D55" s="107">
        <v>216393.44999998808</v>
      </c>
      <c r="E55" s="107">
        <v>215995907.5</v>
      </c>
    </row>
    <row r="56" spans="1:5">
      <c r="A56" s="105">
        <v>41</v>
      </c>
      <c r="B56" s="103" t="s">
        <v>209</v>
      </c>
      <c r="C56" s="103" t="s">
        <v>210</v>
      </c>
      <c r="D56" s="107">
        <v>120296054.95999998</v>
      </c>
      <c r="E56" s="107">
        <v>2097153.13</v>
      </c>
    </row>
    <row r="57" spans="1:5">
      <c r="A57" s="105">
        <v>42</v>
      </c>
      <c r="B57" s="103" t="s">
        <v>211</v>
      </c>
      <c r="C57" s="103" t="s">
        <v>212</v>
      </c>
      <c r="D57" s="107">
        <v>440769055.45999998</v>
      </c>
      <c r="E57" s="107">
        <v>23950902.469999999</v>
      </c>
    </row>
    <row r="58" spans="1:5">
      <c r="A58" s="105">
        <v>43</v>
      </c>
      <c r="B58" s="103" t="s">
        <v>213</v>
      </c>
      <c r="C58" s="103" t="s">
        <v>214</v>
      </c>
      <c r="D58" s="107">
        <v>5709708.2300000004</v>
      </c>
      <c r="E58" s="107">
        <v>0</v>
      </c>
    </row>
    <row r="59" spans="1:5">
      <c r="A59" s="105">
        <v>12</v>
      </c>
      <c r="B59" s="103" t="s">
        <v>215</v>
      </c>
      <c r="D59" s="106">
        <v>167344691</v>
      </c>
      <c r="E59" s="106">
        <v>148406524</v>
      </c>
    </row>
    <row r="60" spans="1:5">
      <c r="A60" s="105">
        <v>44</v>
      </c>
      <c r="B60" s="103" t="s">
        <v>216</v>
      </c>
      <c r="C60" s="103" t="s">
        <v>217</v>
      </c>
      <c r="D60" s="107">
        <v>11888910</v>
      </c>
      <c r="E60" s="107">
        <v>11888910</v>
      </c>
    </row>
    <row r="61" spans="1:5">
      <c r="A61" s="105">
        <v>45</v>
      </c>
      <c r="B61" s="103" t="s">
        <v>218</v>
      </c>
      <c r="C61" s="103" t="s">
        <v>219</v>
      </c>
      <c r="D61" s="107">
        <v>155455781</v>
      </c>
      <c r="E61" s="107">
        <v>136517614</v>
      </c>
    </row>
    <row r="62" spans="1:5">
      <c r="A62" s="105">
        <v>13</v>
      </c>
      <c r="B62" s="103" t="s">
        <v>220</v>
      </c>
      <c r="D62" s="106">
        <v>-55676142471</v>
      </c>
      <c r="E62" s="106">
        <v>-39764793022</v>
      </c>
    </row>
    <row r="63" spans="1:5">
      <c r="A63" s="105">
        <v>46</v>
      </c>
      <c r="B63" s="103" t="s">
        <v>221</v>
      </c>
      <c r="C63" s="103" t="s">
        <v>222</v>
      </c>
      <c r="D63" s="107">
        <v>-25194648</v>
      </c>
      <c r="E63" s="107">
        <v>0</v>
      </c>
    </row>
    <row r="64" spans="1:5">
      <c r="A64" s="105">
        <v>47</v>
      </c>
      <c r="B64" s="103" t="s">
        <v>223</v>
      </c>
      <c r="C64" s="103" t="s">
        <v>224</v>
      </c>
      <c r="D64" s="107">
        <v>0</v>
      </c>
      <c r="E64" s="107">
        <v>-23694855</v>
      </c>
    </row>
    <row r="65" spans="1:5">
      <c r="A65" s="105">
        <v>48</v>
      </c>
      <c r="B65" s="103" t="s">
        <v>225</v>
      </c>
      <c r="C65" s="103" t="s">
        <v>226</v>
      </c>
      <c r="D65" s="107">
        <v>-55650947823</v>
      </c>
      <c r="E65" s="107">
        <v>-39741098167</v>
      </c>
    </row>
    <row r="66" spans="1:5">
      <c r="A66" s="105">
        <v>14</v>
      </c>
      <c r="B66" s="103" t="s">
        <v>227</v>
      </c>
      <c r="D66" s="106">
        <v>-57237576</v>
      </c>
      <c r="E66" s="106">
        <v>-3845762</v>
      </c>
    </row>
    <row r="67" spans="1:5">
      <c r="A67" s="105">
        <v>49</v>
      </c>
      <c r="B67" s="103" t="s">
        <v>228</v>
      </c>
      <c r="C67" s="103" t="s">
        <v>229</v>
      </c>
      <c r="D67" s="107">
        <v>-57237576</v>
      </c>
      <c r="E67" s="107">
        <v>-3845762</v>
      </c>
    </row>
    <row r="68" spans="1:5">
      <c r="A68" s="105">
        <v>15</v>
      </c>
      <c r="B68" s="103" t="s">
        <v>230</v>
      </c>
      <c r="D68" s="106">
        <v>-1455561594.02</v>
      </c>
      <c r="E68" s="106">
        <v>0</v>
      </c>
    </row>
    <row r="69" spans="1:5">
      <c r="A69" s="105">
        <v>50</v>
      </c>
      <c r="B69" s="103" t="s">
        <v>231</v>
      </c>
      <c r="C69" s="103" t="s">
        <v>232</v>
      </c>
      <c r="D69" s="107">
        <v>-1455561594.02</v>
      </c>
      <c r="E69" s="107">
        <v>0</v>
      </c>
    </row>
    <row r="70" spans="1:5">
      <c r="A70" s="105">
        <v>16</v>
      </c>
      <c r="B70" s="103" t="s">
        <v>233</v>
      </c>
      <c r="D70" s="106">
        <v>-171156271.21000034</v>
      </c>
      <c r="E70" s="106">
        <v>-43421744.07</v>
      </c>
    </row>
    <row r="71" spans="1:5">
      <c r="A71" s="105">
        <v>51</v>
      </c>
      <c r="B71" s="103" t="s">
        <v>234</v>
      </c>
      <c r="C71" s="103" t="s">
        <v>235</v>
      </c>
      <c r="D71" s="107">
        <v>5.0000190734863281E-2</v>
      </c>
      <c r="E71" s="107">
        <v>0</v>
      </c>
    </row>
    <row r="72" spans="1:5">
      <c r="A72" s="105">
        <v>52</v>
      </c>
      <c r="B72" s="103" t="s">
        <v>236</v>
      </c>
      <c r="C72" s="103" t="s">
        <v>237</v>
      </c>
      <c r="D72" s="107">
        <v>-139738472.19000053</v>
      </c>
      <c r="E72" s="107">
        <v>0</v>
      </c>
    </row>
    <row r="73" spans="1:5">
      <c r="A73" s="105">
        <v>53</v>
      </c>
      <c r="B73" s="103" t="s">
        <v>238</v>
      </c>
      <c r="C73" s="103" t="s">
        <v>239</v>
      </c>
      <c r="D73" s="107">
        <v>-31417799.069999989</v>
      </c>
      <c r="E73" s="107">
        <v>-43421744.07</v>
      </c>
    </row>
    <row r="74" spans="1:5">
      <c r="A74" s="105">
        <v>17</v>
      </c>
      <c r="B74" s="103" t="s">
        <v>240</v>
      </c>
      <c r="D74" s="106">
        <v>-853405976.87000036</v>
      </c>
      <c r="E74" s="106">
        <v>-529251788.82999998</v>
      </c>
    </row>
    <row r="75" spans="1:5">
      <c r="A75" s="105">
        <v>54</v>
      </c>
      <c r="B75" s="103" t="s">
        <v>241</v>
      </c>
      <c r="C75" s="103" t="s">
        <v>242</v>
      </c>
      <c r="D75" s="107">
        <v>-21286512</v>
      </c>
      <c r="E75" s="107">
        <v>-17150000</v>
      </c>
    </row>
    <row r="76" spans="1:5">
      <c r="A76" s="105">
        <v>55</v>
      </c>
      <c r="B76" s="103" t="s">
        <v>243</v>
      </c>
      <c r="C76" s="103" t="s">
        <v>244</v>
      </c>
      <c r="D76" s="107">
        <v>-7239040</v>
      </c>
      <c r="E76" s="107">
        <v>0</v>
      </c>
    </row>
    <row r="77" spans="1:5">
      <c r="A77" s="105">
        <v>56</v>
      </c>
      <c r="B77" s="103" t="s">
        <v>245</v>
      </c>
      <c r="C77" s="103" t="s">
        <v>246</v>
      </c>
      <c r="D77" s="107">
        <v>-2581632</v>
      </c>
      <c r="E77" s="107">
        <v>-2600000</v>
      </c>
    </row>
    <row r="78" spans="1:5">
      <c r="A78" s="105">
        <v>57</v>
      </c>
      <c r="B78" s="103" t="s">
        <v>247</v>
      </c>
      <c r="C78" s="103" t="s">
        <v>248</v>
      </c>
      <c r="D78" s="107">
        <v>-290706739.69000053</v>
      </c>
      <c r="E78" s="107">
        <v>0</v>
      </c>
    </row>
    <row r="79" spans="1:5">
      <c r="A79" s="105">
        <v>58</v>
      </c>
      <c r="B79" s="103" t="s">
        <v>249</v>
      </c>
      <c r="C79" s="103" t="s">
        <v>250</v>
      </c>
      <c r="D79" s="107">
        <v>-375453039.99999976</v>
      </c>
      <c r="E79" s="107">
        <v>-302067313.32999998</v>
      </c>
    </row>
    <row r="80" spans="1:5">
      <c r="A80" s="105">
        <v>59</v>
      </c>
      <c r="B80" s="103" t="s">
        <v>251</v>
      </c>
      <c r="C80" s="103" t="s">
        <v>252</v>
      </c>
      <c r="D80" s="107">
        <v>-129098980</v>
      </c>
      <c r="E80" s="107">
        <v>-139126366</v>
      </c>
    </row>
    <row r="81" spans="1:13">
      <c r="A81" s="105">
        <v>60</v>
      </c>
      <c r="B81" s="103" t="s">
        <v>253</v>
      </c>
      <c r="C81" s="103" t="s">
        <v>254</v>
      </c>
      <c r="D81" s="107">
        <v>0</v>
      </c>
      <c r="E81" s="107">
        <v>-68308109.5</v>
      </c>
    </row>
    <row r="82" spans="1:13">
      <c r="A82" s="105">
        <v>61</v>
      </c>
      <c r="B82" s="103" t="s">
        <v>255</v>
      </c>
      <c r="C82" s="103" t="s">
        <v>256</v>
      </c>
      <c r="D82" s="107">
        <v>-27040033.18</v>
      </c>
      <c r="E82" s="107">
        <v>0</v>
      </c>
    </row>
    <row r="83" spans="1:13">
      <c r="A83" s="105">
        <v>18</v>
      </c>
      <c r="B83" s="103" t="s">
        <v>257</v>
      </c>
      <c r="C83" s="107">
        <v>-100000000000</v>
      </c>
      <c r="D83" s="107">
        <v>-100000000000</v>
      </c>
    </row>
    <row r="84" spans="1:13">
      <c r="A84" s="105">
        <v>62</v>
      </c>
      <c r="B84" s="103" t="s">
        <v>258</v>
      </c>
      <c r="C84" s="103" t="s">
        <v>259</v>
      </c>
      <c r="D84" s="107">
        <v>-100000000000</v>
      </c>
      <c r="E84" s="107">
        <v>-100000000000</v>
      </c>
    </row>
    <row r="85" spans="1:13">
      <c r="A85" s="105">
        <v>19</v>
      </c>
      <c r="B85" s="103" t="s">
        <v>260</v>
      </c>
      <c r="C85" s="107">
        <v>-191823715.77000001</v>
      </c>
      <c r="D85" s="107">
        <v>-191823715.77000001</v>
      </c>
    </row>
    <row r="86" spans="1:13">
      <c r="A86" s="105">
        <v>63</v>
      </c>
      <c r="B86" s="103" t="s">
        <v>261</v>
      </c>
      <c r="C86" s="103" t="s">
        <v>262</v>
      </c>
      <c r="D86" s="107">
        <v>-191823715.77000001</v>
      </c>
      <c r="E86" s="107">
        <v>-191823715.77000001</v>
      </c>
    </row>
    <row r="87" spans="1:13">
      <c r="A87" s="105">
        <v>20</v>
      </c>
      <c r="B87" s="103" t="s">
        <v>263</v>
      </c>
      <c r="C87" s="107">
        <v>-3764215550.0900197</v>
      </c>
      <c r="D87" s="107">
        <v>0</v>
      </c>
    </row>
    <row r="88" spans="1:13">
      <c r="A88" s="105">
        <v>64</v>
      </c>
      <c r="B88" s="103" t="s">
        <v>264</v>
      </c>
      <c r="C88" s="103" t="s">
        <v>265</v>
      </c>
      <c r="D88" s="107">
        <v>-3764215550.0900197</v>
      </c>
      <c r="E88" s="107">
        <v>0</v>
      </c>
    </row>
    <row r="89" spans="1:13">
      <c r="A89" s="103" t="s">
        <v>266</v>
      </c>
      <c r="B89" s="103" t="s">
        <v>267</v>
      </c>
      <c r="C89" s="103" t="s">
        <v>268</v>
      </c>
      <c r="D89" s="103" t="s">
        <v>269</v>
      </c>
      <c r="E89" s="103" t="s">
        <v>270</v>
      </c>
      <c r="F89" s="103" t="s">
        <v>271</v>
      </c>
      <c r="G89" s="103" t="s">
        <v>271</v>
      </c>
      <c r="H89" s="103" t="s">
        <v>271</v>
      </c>
      <c r="I89" s="103" t="s">
        <v>271</v>
      </c>
      <c r="J89" s="103" t="s">
        <v>272</v>
      </c>
      <c r="K89" s="103" t="s">
        <v>272</v>
      </c>
      <c r="L89" s="103" t="s">
        <v>272</v>
      </c>
      <c r="M89" s="103" t="s">
        <v>272</v>
      </c>
    </row>
    <row r="90" spans="1:13">
      <c r="A90" s="105">
        <v>1</v>
      </c>
    </row>
    <row r="91" spans="1:13">
      <c r="D91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4" customWidth="1"/>
    <col min="2" max="2" width="57.25" style="104" customWidth="1"/>
    <col min="3" max="3" width="13.875" style="104" customWidth="1"/>
    <col min="4" max="5" width="17.625" style="104" customWidth="1"/>
    <col min="6" max="16384" width="9" style="104"/>
  </cols>
  <sheetData>
    <row r="1" spans="1:5">
      <c r="A1" s="103" t="s">
        <v>111</v>
      </c>
      <c r="B1" s="103" t="s">
        <v>112</v>
      </c>
    </row>
    <row r="2" spans="1:5">
      <c r="A2" s="103" t="s">
        <v>113</v>
      </c>
    </row>
    <row r="3" spans="1:5">
      <c r="D3" s="103" t="s">
        <v>473</v>
      </c>
      <c r="E3" s="103" t="s">
        <v>115</v>
      </c>
    </row>
    <row r="4" spans="1:5">
      <c r="A4" s="103" t="s">
        <v>6</v>
      </c>
    </row>
    <row r="5" spans="1:5">
      <c r="A5" s="103" t="s">
        <v>5</v>
      </c>
      <c r="B5" s="103" t="s">
        <v>474</v>
      </c>
      <c r="C5" s="103" t="s">
        <v>475</v>
      </c>
      <c r="D5" s="107">
        <v>0</v>
      </c>
      <c r="E5" s="107">
        <v>0</v>
      </c>
    </row>
    <row r="6" spans="1:5">
      <c r="A6" s="103" t="s">
        <v>8</v>
      </c>
      <c r="B6" s="103" t="s">
        <v>476</v>
      </c>
      <c r="C6" s="103" t="s">
        <v>477</v>
      </c>
      <c r="D6" s="107">
        <v>54220710780.82</v>
      </c>
      <c r="E6" s="107">
        <v>0</v>
      </c>
    </row>
    <row r="7" spans="1:5">
      <c r="B7" s="103" t="s">
        <v>478</v>
      </c>
      <c r="C7" s="103" t="s">
        <v>479</v>
      </c>
      <c r="D7" s="107">
        <v>1698263965</v>
      </c>
      <c r="E7" s="107">
        <v>0</v>
      </c>
    </row>
    <row r="8" spans="1:5">
      <c r="B8" s="103" t="s">
        <v>480</v>
      </c>
      <c r="C8" s="103" t="s">
        <v>481</v>
      </c>
      <c r="D8" s="107">
        <v>47128414789.550003</v>
      </c>
      <c r="E8" s="107">
        <v>0</v>
      </c>
    </row>
    <row r="9" spans="1:5">
      <c r="B9" s="103" t="s">
        <v>482</v>
      </c>
      <c r="C9" s="103" t="s">
        <v>483</v>
      </c>
      <c r="D9" s="107">
        <v>4337669585.5500002</v>
      </c>
      <c r="E9" s="107">
        <v>0</v>
      </c>
    </row>
    <row r="10" spans="1:5">
      <c r="B10" s="103" t="s">
        <v>484</v>
      </c>
      <c r="C10" s="103" t="s">
        <v>485</v>
      </c>
      <c r="D10" s="107">
        <v>42790745204</v>
      </c>
      <c r="E10" s="107">
        <v>0</v>
      </c>
    </row>
    <row r="11" spans="1:5">
      <c r="B11" s="103" t="s">
        <v>486</v>
      </c>
      <c r="C11" s="103" t="s">
        <v>487</v>
      </c>
      <c r="D11" s="107">
        <v>0</v>
      </c>
      <c r="E11" s="107">
        <v>0</v>
      </c>
    </row>
    <row r="12" spans="1:5">
      <c r="B12" s="103" t="s">
        <v>488</v>
      </c>
      <c r="C12" s="103" t="s">
        <v>489</v>
      </c>
      <c r="D12" s="107">
        <v>74367919.930000007</v>
      </c>
      <c r="E12" s="107">
        <v>0</v>
      </c>
    </row>
    <row r="13" spans="1:5">
      <c r="B13" s="103" t="s">
        <v>490</v>
      </c>
      <c r="C13" s="103" t="s">
        <v>491</v>
      </c>
      <c r="D13" s="107">
        <v>5319664106.3400002</v>
      </c>
      <c r="E13" s="107">
        <v>0</v>
      </c>
    </row>
    <row r="14" spans="1:5">
      <c r="A14" s="103" t="s">
        <v>43</v>
      </c>
      <c r="B14" s="103" t="s">
        <v>471</v>
      </c>
      <c r="C14" s="103" t="s">
        <v>492</v>
      </c>
      <c r="D14" s="107">
        <v>-140644423.13</v>
      </c>
      <c r="E14" s="107">
        <v>0</v>
      </c>
    </row>
    <row r="15" spans="1:5">
      <c r="B15" s="103" t="s">
        <v>471</v>
      </c>
      <c r="C15" s="103" t="s">
        <v>493</v>
      </c>
      <c r="D15" s="107">
        <v>-140644423.13</v>
      </c>
      <c r="E15" s="107">
        <v>0</v>
      </c>
    </row>
    <row r="16" spans="1:5">
      <c r="B16" s="103" t="s">
        <v>494</v>
      </c>
      <c r="C16" s="103" t="s">
        <v>495</v>
      </c>
      <c r="D16" s="107">
        <v>54080066357.690002</v>
      </c>
      <c r="E16" s="107">
        <v>0</v>
      </c>
    </row>
    <row r="17" spans="1:5">
      <c r="A17" s="103" t="s">
        <v>5</v>
      </c>
      <c r="B17" s="103" t="s">
        <v>496</v>
      </c>
      <c r="C17" s="103" t="s">
        <v>497</v>
      </c>
      <c r="D17" s="107">
        <v>0</v>
      </c>
      <c r="E17" s="107">
        <v>0</v>
      </c>
    </row>
    <row r="18" spans="1:5">
      <c r="A18" s="103" t="s">
        <v>8</v>
      </c>
      <c r="B18" s="103" t="s">
        <v>498</v>
      </c>
      <c r="C18" s="103" t="s">
        <v>499</v>
      </c>
      <c r="D18" s="107">
        <v>42748984322.93</v>
      </c>
      <c r="E18" s="107">
        <v>0</v>
      </c>
    </row>
    <row r="19" spans="1:5">
      <c r="B19" s="103" t="s">
        <v>500</v>
      </c>
      <c r="C19" s="103" t="s">
        <v>501</v>
      </c>
      <c r="D19" s="107">
        <v>1037822372.92</v>
      </c>
      <c r="E19" s="107">
        <v>0</v>
      </c>
    </row>
    <row r="20" spans="1:5">
      <c r="B20" s="103" t="s">
        <v>502</v>
      </c>
      <c r="C20" s="103" t="s">
        <v>503</v>
      </c>
      <c r="D20" s="107">
        <v>41056803179.129997</v>
      </c>
      <c r="E20" s="107">
        <v>0</v>
      </c>
    </row>
    <row r="21" spans="1:5">
      <c r="B21" s="103" t="s">
        <v>504</v>
      </c>
      <c r="C21" s="103" t="s">
        <v>505</v>
      </c>
      <c r="D21" s="107">
        <v>0</v>
      </c>
      <c r="E21" s="107">
        <v>0</v>
      </c>
    </row>
    <row r="22" spans="1:5">
      <c r="B22" s="103" t="s">
        <v>506</v>
      </c>
      <c r="C22" s="103" t="s">
        <v>507</v>
      </c>
      <c r="D22" s="107">
        <v>0</v>
      </c>
      <c r="E22" s="107">
        <v>0</v>
      </c>
    </row>
    <row r="23" spans="1:5">
      <c r="B23" s="103" t="s">
        <v>508</v>
      </c>
      <c r="C23" s="103" t="s">
        <v>509</v>
      </c>
      <c r="D23" s="107">
        <v>654358770.88</v>
      </c>
      <c r="E23" s="107">
        <v>0</v>
      </c>
    </row>
    <row r="24" spans="1:5">
      <c r="A24" s="103" t="s">
        <v>43</v>
      </c>
      <c r="B24" s="103" t="s">
        <v>510</v>
      </c>
      <c r="C24" s="103" t="s">
        <v>511</v>
      </c>
      <c r="D24" s="107">
        <v>6032791515.8000002</v>
      </c>
      <c r="E24" s="107">
        <v>0</v>
      </c>
    </row>
    <row r="25" spans="1:5">
      <c r="B25" s="103" t="s">
        <v>512</v>
      </c>
      <c r="C25" s="103" t="s">
        <v>513</v>
      </c>
      <c r="D25" s="107">
        <v>3345993387.6799998</v>
      </c>
      <c r="E25" s="107">
        <v>0</v>
      </c>
    </row>
    <row r="26" spans="1:5">
      <c r="B26" s="103" t="s">
        <v>514</v>
      </c>
      <c r="C26" s="103" t="s">
        <v>515</v>
      </c>
      <c r="D26" s="107">
        <v>430481380.20999998</v>
      </c>
      <c r="E26" s="107">
        <v>0</v>
      </c>
    </row>
    <row r="27" spans="1:5">
      <c r="B27" s="103" t="s">
        <v>516</v>
      </c>
      <c r="C27" s="103" t="s">
        <v>517</v>
      </c>
      <c r="D27" s="107">
        <v>77870728</v>
      </c>
      <c r="E27" s="107">
        <v>0</v>
      </c>
    </row>
    <row r="28" spans="1:5">
      <c r="B28" s="103" t="s">
        <v>518</v>
      </c>
      <c r="C28" s="103" t="s">
        <v>519</v>
      </c>
      <c r="D28" s="107">
        <v>2178446019.9099998</v>
      </c>
      <c r="E28" s="107">
        <v>0</v>
      </c>
    </row>
    <row r="29" spans="1:5">
      <c r="A29" s="103" t="s">
        <v>49</v>
      </c>
      <c r="B29" s="103" t="s">
        <v>520</v>
      </c>
      <c r="C29" s="103" t="s">
        <v>521</v>
      </c>
      <c r="D29" s="107">
        <v>0</v>
      </c>
      <c r="E29" s="107">
        <v>0</v>
      </c>
    </row>
    <row r="30" spans="1:5">
      <c r="B30" s="103" t="s">
        <v>520</v>
      </c>
      <c r="C30" s="103" t="s">
        <v>522</v>
      </c>
      <c r="D30" s="107">
        <v>0</v>
      </c>
      <c r="E30" s="107">
        <v>0</v>
      </c>
    </row>
    <row r="31" spans="1:5">
      <c r="B31" s="103" t="s">
        <v>523</v>
      </c>
      <c r="C31" s="103" t="s">
        <v>524</v>
      </c>
      <c r="D31" s="107">
        <v>48781775838.730003</v>
      </c>
      <c r="E31" s="107">
        <v>0</v>
      </c>
    </row>
    <row r="32" spans="1:5">
      <c r="B32" s="103" t="s">
        <v>525</v>
      </c>
      <c r="C32" s="103" t="s">
        <v>526</v>
      </c>
      <c r="D32" s="107">
        <v>5298290518.96</v>
      </c>
      <c r="E32" s="107">
        <v>0</v>
      </c>
    </row>
    <row r="33" spans="1:13">
      <c r="B33" s="103" t="s">
        <v>527</v>
      </c>
      <c r="C33" s="103" t="s">
        <v>528</v>
      </c>
      <c r="D33" s="107">
        <v>1534074968.8699999</v>
      </c>
      <c r="E33" s="107">
        <v>0</v>
      </c>
    </row>
    <row r="34" spans="1:13">
      <c r="B34" s="103" t="s">
        <v>529</v>
      </c>
      <c r="C34" s="103" t="s">
        <v>530</v>
      </c>
      <c r="D34" s="115">
        <v>3764215550.0900002</v>
      </c>
      <c r="E34" s="107">
        <v>0</v>
      </c>
    </row>
    <row r="35" spans="1:13">
      <c r="A35" s="103" t="s">
        <v>266</v>
      </c>
      <c r="B35" s="103" t="s">
        <v>267</v>
      </c>
      <c r="C35" s="103" t="s">
        <v>268</v>
      </c>
      <c r="D35" s="103" t="s">
        <v>269</v>
      </c>
      <c r="E35" s="103" t="s">
        <v>270</v>
      </c>
      <c r="F35" s="103" t="s">
        <v>271</v>
      </c>
      <c r="G35" s="103" t="s">
        <v>271</v>
      </c>
      <c r="H35" s="103" t="s">
        <v>271</v>
      </c>
      <c r="I35" s="103" t="s">
        <v>271</v>
      </c>
      <c r="J35" s="103" t="s">
        <v>272</v>
      </c>
      <c r="K35" s="103" t="s">
        <v>272</v>
      </c>
      <c r="L35" s="103" t="s">
        <v>272</v>
      </c>
      <c r="M35" s="103" t="s">
        <v>272</v>
      </c>
    </row>
    <row r="36" spans="1:13">
      <c r="A36" s="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Sheet2</vt:lpstr>
      <vt:lpstr>FinalFormwFx2</vt:lpstr>
      <vt:lpstr>FinalForm</vt:lpstr>
      <vt:lpstr>TB 2012</vt:lpstr>
      <vt:lpstr>BS</vt:lpstr>
      <vt:lpstr>PL</vt:lpstr>
      <vt:lpstr>FinalForm!Print_Area</vt:lpstr>
      <vt:lpstr>FinalFormwFx2!Print_Area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user</cp:lastModifiedBy>
  <cp:lastPrinted>2013-06-26T06:02:12Z</cp:lastPrinted>
  <dcterms:created xsi:type="dcterms:W3CDTF">2012-12-04T04:26:55Z</dcterms:created>
  <dcterms:modified xsi:type="dcterms:W3CDTF">2013-06-26T06:28:20Z</dcterms:modified>
</cp:coreProperties>
</file>